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A" sheetId="2" state="visible" r:id="rId4"/>
    <sheet name="B" sheetId="3" state="visible" r:id="rId5"/>
    <sheet name="C" sheetId="4" state="visible" r:id="rId6"/>
    <sheet name="D" sheetId="5" state="visible" r:id="rId7"/>
    <sheet name="E" sheetId="6" state="visible" r:id="rId8"/>
    <sheet name="F" sheetId="7" state="visible" r:id="rId9"/>
    <sheet name="G" sheetId="8" state="visible" r:id="rId10"/>
    <sheet name="H" sheetId="9" state="visible" r:id="rId11"/>
    <sheet name="I" sheetId="10" state="visible" r:id="rId12"/>
    <sheet name="Graph 1" sheetId="11" state="visible" r:id="rId13"/>
  </sheets>
  <definedNames>
    <definedName function="false" hidden="false" localSheetId="5" name="_xlnm.Print_Area" vbProcedure="false">E!$C$387</definedName>
    <definedName function="false" hidden="false" name="Figure2" vbProcedure="false">H!$A$1:$I$26</definedName>
    <definedName function="false" hidden="false" name="headers" vbProcedure="false">I!$A$1:$H$7</definedName>
    <definedName function="false" hidden="false" name="Table1" vbProcedure="false">B!$A$1</definedName>
    <definedName function="false" hidden="false" name="Table2" vbProcedure="false">C!$A$1</definedName>
    <definedName function="false" hidden="false" name="Table3" vbProcedure="false">D!$A$1:$J$47</definedName>
    <definedName function="false" hidden="false" name="Table4a" vbProcedure="false">E!$A$1:$O$17</definedName>
    <definedName function="false" hidden="false" name="Table5" vbProcedure="false">F!$A$1:$I$37</definedName>
    <definedName function="false" hidden="false" name="Table6a" vbProcedure="false">G!$A$1:$H$23</definedName>
  </definedNames>
  <calcPr iterateCount="1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<sst xmlns="http://schemas.openxmlformats.org/spreadsheetml/2006/main" count="689" uniqueCount="165">
  <si>
    <t xml:space="preserve">MEAN TRAVEL TIME FOR WASHCOG REGION</t>
  </si>
  <si>
    <t xml:space="preserve">AM AND PM PEAK PERIOD</t>
  </si>
  <si>
    <t xml:space="preserve">Home to Work</t>
  </si>
  <si>
    <t xml:space="preserve">Work to Home</t>
  </si>
  <si>
    <t xml:space="preserve">Home to Other</t>
  </si>
  <si>
    <t xml:space="preserve">Other to Home</t>
  </si>
  <si>
    <t xml:space="preserve">Work to Other</t>
  </si>
  <si>
    <t xml:space="preserve">Other to Work</t>
  </si>
  <si>
    <t xml:space="preserve">Other to Other</t>
  </si>
  <si>
    <t xml:space="preserve">Drive Alone 1968</t>
  </si>
  <si>
    <t xml:space="preserve">Drive Alone 1988</t>
  </si>
  <si>
    <t xml:space="preserve">Carpool 2 1968</t>
  </si>
  <si>
    <t xml:space="preserve">Carpool 2 1988</t>
  </si>
  <si>
    <t xml:space="preserve">Carpool 3+ 1968</t>
  </si>
  <si>
    <t xml:space="preserve">Carpool 3+ 1988</t>
  </si>
  <si>
    <t xml:space="preserve">Walk to Transit 1968</t>
  </si>
  <si>
    <t xml:space="preserve">Walk to Transit 1988</t>
  </si>
  <si>
    <t xml:space="preserve">Park and Ride 1988</t>
  </si>
  <si>
    <t xml:space="preserve">Kiss and Ride 1988</t>
  </si>
  <si>
    <t xml:space="preserve">Walk 1988</t>
  </si>
  <si>
    <t xml:space="preserve">Work Trips</t>
  </si>
  <si>
    <t xml:space="preserve">Home-Based Nonwork</t>
  </si>
  <si>
    <t xml:space="preserve">Work-Based Nonwork</t>
  </si>
  <si>
    <t xml:space="preserve">Other-Based Other</t>
  </si>
  <si>
    <t xml:space="preserve"> </t>
  </si>
  <si>
    <t xml:space="preserve">All Modes 1968</t>
  </si>
  <si>
    <t xml:space="preserve">All Modes 1988</t>
  </si>
  <si>
    <t xml:space="preserve">5/26/92</t>
  </si>
  <si>
    <t xml:space="preserve">Table 1:</t>
  </si>
  <si>
    <t xml:space="preserve">MEAN, MEDIAN, AND SAMPLE SIZE--TRAVEL TIME FOR WASHCOG REGION</t>
  </si>
  <si>
    <t xml:space="preserve">H2W</t>
  </si>
  <si>
    <t xml:space="preserve">W2H</t>
  </si>
  <si>
    <t xml:space="preserve">H2O</t>
  </si>
  <si>
    <t xml:space="preserve">O2H</t>
  </si>
  <si>
    <t xml:space="preserve">W2O</t>
  </si>
  <si>
    <t xml:space="preserve">O2W</t>
  </si>
  <si>
    <t xml:space="preserve">O2O</t>
  </si>
  <si>
    <t xml:space="preserve">AUTO1</t>
  </si>
  <si>
    <t xml:space="preserve">(30.0)</t>
  </si>
  <si>
    <t xml:space="preserve">(15.0)</t>
  </si>
  <si>
    <t xml:space="preserve">(25.0)</t>
  </si>
  <si>
    <t xml:space="preserve">(20.0)</t>
  </si>
  <si>
    <t xml:space="preserve">(27.5)</t>
  </si>
  <si>
    <t xml:space="preserve">(22.0)</t>
  </si>
  <si>
    <t xml:space="preserve">AUTO2</t>
  </si>
  <si>
    <t xml:space="preserve">(24.0)</t>
  </si>
  <si>
    <t xml:space="preserve">AUTO3</t>
  </si>
  <si>
    <t xml:space="preserve">(40.0)</t>
  </si>
  <si>
    <t xml:space="preserve">(45.0)</t>
  </si>
  <si>
    <t xml:space="preserve">(10.0)</t>
  </si>
  <si>
    <t xml:space="preserve">(35.0)</t>
  </si>
  <si>
    <t xml:space="preserve">WCT</t>
  </si>
  <si>
    <t xml:space="preserve">(42.5)</t>
  </si>
  <si>
    <t xml:space="preserve">(26.0)</t>
  </si>
  <si>
    <t xml:space="preserve">ADT</t>
  </si>
  <si>
    <t xml:space="preserve">(55.0)</t>
  </si>
  <si>
    <t xml:space="preserve">(60.0)</t>
  </si>
  <si>
    <t xml:space="preserve">APT</t>
  </si>
  <si>
    <t xml:space="preserve">(47.5)</t>
  </si>
  <si>
    <t xml:space="preserve">WALK</t>
  </si>
  <si>
    <t xml:space="preserve">(16.5)</t>
  </si>
  <si>
    <t xml:space="preserve">(10.5)</t>
  </si>
  <si>
    <t xml:space="preserve">MEAN, MEDIAN, AND SAMPLE SIZE--TRAVEL DISTANCE FOR WASHCOG REGION</t>
  </si>
  <si>
    <t xml:space="preserve">(5.0)</t>
  </si>
  <si>
    <t xml:space="preserve">(2.0)</t>
  </si>
  <si>
    <t xml:space="preserve">(4.0)</t>
  </si>
  <si>
    <t xml:space="preserve">(3.0)</t>
  </si>
  <si>
    <t xml:space="preserve">(6.0)</t>
  </si>
  <si>
    <t xml:space="preserve">(7.0)</t>
  </si>
  <si>
    <t xml:space="preserve">(8.0)</t>
  </si>
  <si>
    <t xml:space="preserve">(9.5)</t>
  </si>
  <si>
    <t xml:space="preserve">(11.0)</t>
  </si>
  <si>
    <t xml:space="preserve">(12.5)</t>
  </si>
  <si>
    <t xml:space="preserve">(3.5)</t>
  </si>
  <si>
    <t xml:space="preserve">(12.0)</t>
  </si>
  <si>
    <t xml:space="preserve">(11.5)</t>
  </si>
  <si>
    <t xml:space="preserve">(0.0)</t>
  </si>
  <si>
    <t xml:space="preserve">Table 3:</t>
  </si>
  <si>
    <t xml:space="preserve">Average Travel Time in minutes and Sample Size (N) for the Metropolitan</t>
  </si>
  <si>
    <t xml:space="preserve">Washington Region by Mode and Purpose (A.M. and P.M. Peak Period)</t>
  </si>
  <si>
    <t xml:space="preserve">P  U  R  P  O  S  E</t>
  </si>
  <si>
    <t xml:space="preserve">Mode</t>
  </si>
  <si>
    <t xml:space="preserve">Year</t>
  </si>
  <si>
    <t xml:space="preserve">Work to</t>
  </si>
  <si>
    <t xml:space="preserve">Home to </t>
  </si>
  <si>
    <t xml:space="preserve">Other to </t>
  </si>
  <si>
    <t xml:space="preserve">Other to</t>
  </si>
  <si>
    <t xml:space="preserve">Work</t>
  </si>
  <si>
    <t xml:space="preserve">Home</t>
  </si>
  <si>
    <t xml:space="preserve">Other</t>
  </si>
  <si>
    <t xml:space="preserve">AUTO-1</t>
  </si>
  <si>
    <t xml:space="preserve">Time</t>
  </si>
  <si>
    <t xml:space="preserve">N</t>
  </si>
  <si>
    <t xml:space="preserve">AUTO-2</t>
  </si>
  <si>
    <t xml:space="preserve">AUTO-3</t>
  </si>
  <si>
    <t xml:space="preserve">TRANSIT</t>
  </si>
  <si>
    <t xml:space="preserve">ALL</t>
  </si>
  <si>
    <t xml:space="preserve">MODES</t>
  </si>
  <si>
    <t xml:space="preserve">Source: 1968 and 1987/88 Metropolitan Washington Council of Governments Household</t>
  </si>
  <si>
    <t xml:space="preserve">        Travel Surveys.</t>
  </si>
  <si>
    <t xml:space="preserve">        A.M. Peak: 6-9 A.M.;   P.M. Peak: 3:30-6:30 P.M.</t>
  </si>
  <si>
    <t xml:space="preserve">Table 5:</t>
  </si>
  <si>
    <t xml:space="preserve">AVERAGE EUCLIDEAN TRAVEL DISTANCE (IN MILES)  </t>
  </si>
  <si>
    <t xml:space="preserve">FOR THE METROPOLITAN WASHINGTON REGION</t>
  </si>
  <si>
    <t xml:space="preserve">BY MODE AND PURPOSE (AM AND PM PEAK PERIOD)</t>
  </si>
  <si>
    <t xml:space="preserve">Home to</t>
  </si>
  <si>
    <t xml:space="preserve">        AM Peak: 6-9 AM;   PM Peak: 3:30-6:30 PM</t>
  </si>
  <si>
    <t xml:space="preserve">Table 2:</t>
  </si>
  <si>
    <t xml:space="preserve">AVERAGE TRAVEL SPEED FOR THE METROPOLITAN WASHINGTON REGION, </t>
  </si>
  <si>
    <t xml:space="preserve">-</t>
  </si>
  <si>
    <t xml:space="preserve">Table 6:</t>
  </si>
  <si>
    <t xml:space="preserve">PERCENT CHANGE IN SPEED </t>
  </si>
  <si>
    <t xml:space="preserve">BETWEEN 1968 AND 1988 FOR THE METROPOLITAN </t>
  </si>
  <si>
    <t xml:space="preserve">Source: 1968 and 1987/88 MWCOG Household</t>
  </si>
  <si>
    <t xml:space="preserve">Table 1: Change in Person Work Trip Volume Between 1968 and 1988:</t>
  </si>
  <si>
    <t xml:space="preserve"> all modes, A.M. peak period (in '000)</t>
  </si>
  <si>
    <t xml:space="preserve">D  E  S  T  I  N  A  T  I  O  N</t>
  </si>
  <si>
    <t xml:space="preserve">ORIGIN</t>
  </si>
  <si>
    <t xml:space="preserve">          CENTER CITY</t>
  </si>
  <si>
    <t xml:space="preserve">        INNER SUBURBS</t>
  </si>
  <si>
    <t xml:space="preserve">      OUTER SUBURBS</t>
  </si>
  <si>
    <t xml:space="preserve">                  TOTAL</t>
  </si>
  <si>
    <t xml:space="preserve">%</t>
  </si>
  <si>
    <t xml:space="preserve">1968</t>
  </si>
  <si>
    <t xml:space="preserve">1988</t>
  </si>
  <si>
    <t xml:space="preserve">Change</t>
  </si>
  <si>
    <t xml:space="preserve">CENTER CITY</t>
  </si>
  <si>
    <t xml:space="preserve">INNER SUBURBS</t>
  </si>
  <si>
    <t xml:space="preserve">OUTER SUBURBS</t>
  </si>
  <si>
    <t xml:space="preserve">TOTAL</t>
  </si>
  <si>
    <t xml:space="preserve">Source: 1968 and 1987/88 Metropolitan Washington Council of Governments Household Travel Surveys</t>
  </si>
  <si>
    <t xml:space="preserve">Note:     A.M. Peak: 6-9 AM</t>
  </si>
  <si>
    <t xml:space="preserve">Table 2: Change in Average Work Trip Time Between 1968 and 1988:</t>
  </si>
  <si>
    <t xml:space="preserve"> all modes, A.M. peak period (in minutes)</t>
  </si>
  <si>
    <t xml:space="preserve">              CENTER CITY</t>
  </si>
  <si>
    <t xml:space="preserve">      INNER SUBURBS</t>
  </si>
  <si>
    <t xml:space="preserve">      REGIONAL AVERAGE</t>
  </si>
  <si>
    <t xml:space="preserve">        A.M. Peak: 6-9 A.M.</t>
  </si>
  <si>
    <t xml:space="preserve">Table 4:</t>
  </si>
  <si>
    <t xml:space="preserve">Difference of Means Test: Null Hypothesis: There Is No</t>
  </si>
  <si>
    <t xml:space="preserve">Difference In Travel Time Distributions By Mode And Purpose</t>
  </si>
  <si>
    <t xml:space="preserve"> From 1968 To 1988.</t>
  </si>
  <si>
    <t xml:space="preserve">PURPOSE</t>
  </si>
  <si>
    <t xml:space="preserve">MODE</t>
  </si>
  <si>
    <t xml:space="preserve">*</t>
  </si>
  <si>
    <t xml:space="preserve">note: * indicates ps0.05</t>
  </si>
  <si>
    <t xml:space="preserve">Capacity</t>
  </si>
  <si>
    <t xml:space="preserve">Population</t>
  </si>
  <si>
    <t xml:space="preserve">Households</t>
  </si>
  <si>
    <t xml:space="preserve">Autos</t>
  </si>
  <si>
    <t xml:space="preserve">VMT</t>
  </si>
  <si>
    <t xml:space="preserve">       CENTER CITY</t>
  </si>
  <si>
    <t xml:space="preserve">    INNER SUBURBS</t>
  </si>
  <si>
    <t xml:space="preserve">    OUTER SUBURBS</t>
  </si>
  <si>
    <t xml:space="preserve"> REGIONAL AVERAGE</t>
  </si>
  <si>
    <t xml:space="preserve">note: * indicates p s 0.05</t>
  </si>
  <si>
    <t xml:space="preserve">Table 5: Average Euclidean Travel Distance (in miles) for the Metropolitan Washington Region</t>
  </si>
  <si>
    <t xml:space="preserve">              by Mode and Purpose (A.M. and P.M. Peak Period)</t>
  </si>
  <si>
    <t xml:space="preserve">Percent Change in Speed Between 1968 and 1988 for the Metropolitan</t>
  </si>
  <si>
    <t xml:space="preserve">Washington Region, by Mode and Purpose (A.M. and P.M. Peak Period)</t>
  </si>
  <si>
    <t xml:space="preserve">Source: 1968 and 1987/88 MWCOG Household Travel Surveys</t>
  </si>
  <si>
    <t xml:space="preserve">FIGURE 2: METROPOLITAN TRENDS</t>
  </si>
  <si>
    <t xml:space="preserve">FIGURE 1: WASHINGTON METROPOLITAN REGION</t>
  </si>
  <si>
    <t xml:space="preserve">FIGURE 3: CUMULATIVE DISTRIBUTION OF TRAVEL TIMES: 1968 vs. 1988</t>
  </si>
  <si>
    <t xml:space="preserve">FIGURE 4: CUMULATIVE DISTRIBUTION OF TRAVEL TIMES BY MODE</t>
  </si>
</sst>
</file>

<file path=xl/styles.xml><?xml version="1.0" encoding="utf-8"?>
<styleSheet xmlns="http://schemas.openxmlformats.org/spreadsheetml/2006/main">
  <numFmts count="5">
    <numFmt numFmtId="164" formatCode="0_)"/>
    <numFmt numFmtId="165" formatCode="0.0_)"/>
    <numFmt numFmtId="166" formatCode="0.0%"/>
    <numFmt numFmtId="167" formatCode="0_);[RED]\-0_)"/>
    <numFmt numFmtId="168" formatCode="0.00_)"/>
  </numFmts>
  <fonts count="7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Geneva"/>
      <family val="0"/>
    </font>
    <font>
      <sz val="24"/>
      <color rgb="FF000000"/>
      <name val="Geneva"/>
      <family val="2"/>
    </font>
    <font>
      <sz val="18"/>
      <color rgb="FF000000"/>
      <name val="Geneva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fil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2400" b="0" u="none" strike="noStrike">
                <a:solidFill>
                  <a:srgbClr val="000000"/>
                </a:solidFill>
                <a:uFillTx/>
                <a:latin typeface="Geneva"/>
              </a:rPr>
              <a:t>Washington DC Metropolitan Area
1968 to 1988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"Data A"</c:f>
              <c:strCache>
                <c:ptCount val="1"/>
                <c:pt idx="0">
                  <c:v>Data A</c:v>
                </c:pt>
              </c:strCache>
            </c:strRef>
          </c:tx>
          <c:spPr>
            <a:solidFill>
              <a:srgbClr val="FF000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A!$B$367:$B$371</c:f>
              <c:strCache>
                <c:ptCount val="5"/>
                <c:pt idx="0">
                  <c:v>Capacity</c:v>
                </c:pt>
                <c:pt idx="1">
                  <c:v>Population</c:v>
                </c:pt>
                <c:pt idx="2">
                  <c:v>Households</c:v>
                </c:pt>
                <c:pt idx="3">
                  <c:v>Autos</c:v>
                </c:pt>
                <c:pt idx="4">
                  <c:v>VMT</c:v>
                </c:pt>
              </c:strCache>
            </c:strRef>
          </c:cat>
          <c:val>
            <c:numRef>
              <c:f>A!$C$367:$C$371</c:f>
              <c:numCache>
                <c:formatCode>0_)</c:formatCode>
                <c:ptCount val="5"/>
                <c:pt idx="0">
                  <c:v>13</c:v>
                </c:pt>
                <c:pt idx="1">
                  <c:v>43</c:v>
                </c:pt>
                <c:pt idx="2">
                  <c:v>78</c:v>
                </c:pt>
                <c:pt idx="3">
                  <c:v>118</c:v>
                </c:pt>
                <c:pt idx="4">
                  <c:v>133</c:v>
                </c:pt>
              </c:numCache>
            </c:numRef>
          </c:val>
        </c:ser>
        <c:gapWidth val="150"/>
        <c:overlap val="0"/>
        <c:axId val="82198651"/>
        <c:axId val="7046057"/>
      </c:barChart>
      <c:catAx>
        <c:axId val="82198651"/>
        <c:scaling>
          <c:orientation val="minMax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in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8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046057"/>
        <c:crossesAt val="0"/>
        <c:auto val="1"/>
        <c:lblAlgn val="ctr"/>
        <c:lblOffset val="100"/>
        <c:noMultiLvlLbl val="0"/>
      </c:catAx>
      <c:valAx>
        <c:axId val="7046057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0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Percentage Change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_)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8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2198651"/>
        <c:crossesAt val="1"/>
        <c:crossBetween val="midCat"/>
      </c:valAx>
      <c:spPr>
        <a:noFill/>
        <a:ln w="0">
          <a:solidFill>
            <a:srgbClr val="000000"/>
          </a:solidFill>
        </a:ln>
      </c:spPr>
    </c:plotArea>
    <c:plotVisOnly val="0"/>
    <c:dispBlanksAs val="gap"/>
  </c:chart>
  <c:spPr>
    <a:noFill/>
    <a:ln w="1260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cols>
    <col collapsed="false" customWidth="true" hidden="false" outlineLevel="0" max="1" min="1" style="0" width="17.16"/>
    <col collapsed="false" customWidth="true" hidden="false" outlineLevel="0" max="3" min="3" style="0" width="20.32"/>
    <col collapsed="false" customWidth="true" hidden="false" outlineLevel="0" max="4" min="4" style="0" width="21.16"/>
    <col collapsed="false" customWidth="true" hidden="false" outlineLevel="0" max="5" min="5" style="0" width="17.99"/>
  </cols>
  <sheetData>
    <row r="1" customFormat="false" ht="13" hidden="false" customHeight="false" outlineLevel="0" collapsed="false">
      <c r="B1" s="0" t="s">
        <v>0</v>
      </c>
    </row>
    <row r="2" customFormat="false" ht="13" hidden="false" customHeight="false" outlineLevel="0" collapsed="false">
      <c r="C2" s="0" t="s">
        <v>1</v>
      </c>
    </row>
    <row r="4" customFormat="false" ht="13" hidden="false" customHeight="false" outlineLevel="0" collapsed="false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customFormat="false" ht="13" hidden="false" customHeight="false" outlineLevel="0" collapsed="false">
      <c r="A5" s="0" t="s">
        <v>9</v>
      </c>
      <c r="B5" s="0" t="n">
        <v>28.3</v>
      </c>
      <c r="C5" s="0" t="n">
        <v>32.5</v>
      </c>
      <c r="D5" s="0" t="n">
        <v>19.2</v>
      </c>
      <c r="E5" s="0" t="n">
        <v>17.8</v>
      </c>
      <c r="F5" s="0" t="n">
        <v>27.3</v>
      </c>
      <c r="G5" s="0" t="n">
        <v>24.4</v>
      </c>
      <c r="H5" s="0" t="n">
        <v>17.9</v>
      </c>
    </row>
    <row r="6" customFormat="false" ht="13" hidden="false" customHeight="false" outlineLevel="0" collapsed="false">
      <c r="A6" s="0" t="s">
        <v>10</v>
      </c>
      <c r="B6" s="0" t="n">
        <v>28.9</v>
      </c>
      <c r="C6" s="0" t="n">
        <v>32.5</v>
      </c>
      <c r="D6" s="0" t="n">
        <v>18.6</v>
      </c>
      <c r="E6" s="0" t="n">
        <v>19.9</v>
      </c>
      <c r="F6" s="0" t="n">
        <v>26.6</v>
      </c>
      <c r="G6" s="0" t="n">
        <v>25.8</v>
      </c>
      <c r="H6" s="0" t="n">
        <v>17.8</v>
      </c>
    </row>
    <row r="7" customFormat="false" ht="13" hidden="false" customHeight="false" outlineLevel="0" collapsed="false">
      <c r="A7" s="0" t="s">
        <v>11</v>
      </c>
      <c r="B7" s="0" t="n">
        <v>32.3</v>
      </c>
      <c r="C7" s="0" t="n">
        <v>36.4</v>
      </c>
      <c r="D7" s="0" t="n">
        <v>17.2</v>
      </c>
      <c r="E7" s="0" t="n">
        <v>17.9</v>
      </c>
      <c r="F7" s="0" t="n">
        <v>27.8</v>
      </c>
      <c r="G7" s="0" t="n">
        <v>25.8</v>
      </c>
      <c r="H7" s="0" t="n">
        <v>17.1</v>
      </c>
    </row>
    <row r="8" customFormat="false" ht="13" hidden="false" customHeight="false" outlineLevel="0" collapsed="false">
      <c r="A8" s="0" t="s">
        <v>12</v>
      </c>
      <c r="B8" s="0" t="n">
        <v>31.2</v>
      </c>
      <c r="C8" s="0" t="n">
        <v>32.3</v>
      </c>
      <c r="D8" s="0" t="n">
        <v>18.1</v>
      </c>
      <c r="E8" s="0" t="n">
        <v>18.7</v>
      </c>
      <c r="F8" s="0" t="n">
        <v>26.4</v>
      </c>
      <c r="G8" s="0" t="n">
        <v>32.9</v>
      </c>
      <c r="H8" s="0" t="n">
        <v>17</v>
      </c>
    </row>
    <row r="9" customFormat="false" ht="13" hidden="false" customHeight="false" outlineLevel="0" collapsed="false">
      <c r="A9" s="0" t="s">
        <v>13</v>
      </c>
      <c r="B9" s="0" t="n">
        <v>40.7</v>
      </c>
      <c r="C9" s="0" t="n">
        <v>47.3</v>
      </c>
      <c r="D9" s="0" t="n">
        <v>17.3</v>
      </c>
      <c r="E9" s="0" t="n">
        <v>18.5</v>
      </c>
      <c r="F9" s="0" t="n">
        <v>32.3</v>
      </c>
      <c r="G9" s="2" t="n">
        <v>35</v>
      </c>
      <c r="H9" s="0" t="n">
        <v>15.1</v>
      </c>
    </row>
    <row r="10" customFormat="false" ht="13" hidden="false" customHeight="false" outlineLevel="0" collapsed="false">
      <c r="A10" s="0" t="s">
        <v>14</v>
      </c>
      <c r="B10" s="0" t="n">
        <v>37.8</v>
      </c>
      <c r="C10" s="0" t="n">
        <v>44.1</v>
      </c>
      <c r="D10" s="0" t="n">
        <v>16.7</v>
      </c>
      <c r="E10" s="0" t="n">
        <v>15.1</v>
      </c>
      <c r="F10" s="0" t="n">
        <v>30.1</v>
      </c>
      <c r="G10" s="0" t="n">
        <v>33.5</v>
      </c>
      <c r="H10" s="0" t="n">
        <v>18.2</v>
      </c>
    </row>
    <row r="11" customFormat="false" ht="13" hidden="false" customHeight="false" outlineLevel="0" collapsed="false">
      <c r="A11" s="0" t="s">
        <v>15</v>
      </c>
      <c r="B11" s="0" t="n">
        <v>44.3</v>
      </c>
      <c r="C11" s="0" t="n">
        <v>51.4</v>
      </c>
      <c r="D11" s="0" t="n">
        <v>39.6</v>
      </c>
      <c r="E11" s="0" t="n">
        <v>42.8</v>
      </c>
      <c r="F11" s="0" t="n">
        <v>38.5</v>
      </c>
      <c r="G11" s="0" t="n">
        <v>36.8</v>
      </c>
      <c r="H11" s="0" t="n">
        <v>33.5</v>
      </c>
    </row>
    <row r="12" customFormat="false" ht="13" hidden="false" customHeight="false" outlineLevel="0" collapsed="false">
      <c r="A12" s="0" t="s">
        <v>16</v>
      </c>
      <c r="B12" s="0" t="n">
        <v>39.6</v>
      </c>
      <c r="C12" s="0" t="n">
        <v>43.8</v>
      </c>
      <c r="D12" s="0" t="n">
        <v>36</v>
      </c>
      <c r="E12" s="0" t="n">
        <v>36.3</v>
      </c>
      <c r="F12" s="0" t="n">
        <v>37.6</v>
      </c>
      <c r="G12" s="0" t="n">
        <v>23.9</v>
      </c>
      <c r="H12" s="0" t="n">
        <v>34.6</v>
      </c>
    </row>
    <row r="13" customFormat="false" ht="13" hidden="false" customHeight="false" outlineLevel="0" collapsed="false">
      <c r="A13" s="0" t="s">
        <v>17</v>
      </c>
      <c r="B13" s="0" t="n">
        <v>55.5</v>
      </c>
      <c r="C13" s="0" t="n">
        <v>53.1</v>
      </c>
      <c r="D13" s="0" t="n">
        <v>36</v>
      </c>
      <c r="G13" s="0" t="n">
        <v>43.7</v>
      </c>
    </row>
    <row r="14" customFormat="false" ht="13" hidden="false" customHeight="false" outlineLevel="0" collapsed="false">
      <c r="A14" s="0" t="s">
        <v>18</v>
      </c>
      <c r="B14" s="0" t="n">
        <v>49.3</v>
      </c>
      <c r="C14" s="0" t="n">
        <v>57.4</v>
      </c>
    </row>
    <row r="15" customFormat="false" ht="13" hidden="false" customHeight="false" outlineLevel="0" collapsed="false">
      <c r="A15" s="0" t="s">
        <v>19</v>
      </c>
      <c r="B15" s="0" t="n">
        <v>20.3</v>
      </c>
      <c r="C15" s="0" t="n">
        <v>19.9</v>
      </c>
      <c r="D15" s="0" t="n">
        <v>13.6</v>
      </c>
      <c r="E15" s="0" t="n">
        <v>14</v>
      </c>
      <c r="F15" s="0" t="n">
        <v>16.8</v>
      </c>
      <c r="G15" s="0" t="n">
        <v>14.5</v>
      </c>
      <c r="H15" s="0" t="n">
        <v>18.6</v>
      </c>
    </row>
    <row r="17" customFormat="false" ht="14" hidden="false" customHeight="false" outlineLevel="0" collapsed="false"/>
    <row r="18" customFormat="false" ht="13" hidden="false" customHeight="false" outlineLevel="0" collapsed="false">
      <c r="A18" s="3"/>
      <c r="B18" s="3" t="s">
        <v>20</v>
      </c>
      <c r="C18" s="3" t="s">
        <v>21</v>
      </c>
      <c r="D18" s="3" t="s">
        <v>22</v>
      </c>
      <c r="E18" s="3" t="s">
        <v>23</v>
      </c>
    </row>
    <row r="19" customFormat="false" ht="13" hidden="false" customHeight="false" outlineLevel="0" collapsed="false">
      <c r="A19" s="4" t="s">
        <v>9</v>
      </c>
      <c r="B19" s="5" t="n">
        <f aca="false">(B5+C5)/2</f>
        <v>30.4</v>
      </c>
      <c r="C19" s="5" t="n">
        <f aca="false">(D5+E5)/2</f>
        <v>18.5</v>
      </c>
      <c r="D19" s="5" t="n">
        <f aca="false">(F5+G5)/2</f>
        <v>25.85</v>
      </c>
      <c r="E19" s="5" t="n">
        <f aca="false">H5</f>
        <v>17.9</v>
      </c>
    </row>
    <row r="20" customFormat="false" ht="13" hidden="false" customHeight="false" outlineLevel="0" collapsed="false">
      <c r="A20" s="4" t="s">
        <v>10</v>
      </c>
      <c r="B20" s="5" t="n">
        <f aca="false">(B6+C6)/2</f>
        <v>30.7</v>
      </c>
      <c r="C20" s="5" t="n">
        <f aca="false">(D6+E6)/2</f>
        <v>19.25</v>
      </c>
      <c r="D20" s="5" t="n">
        <f aca="false">(F6+G6)/2</f>
        <v>26.2</v>
      </c>
      <c r="E20" s="5" t="n">
        <f aca="false">H6</f>
        <v>17.8</v>
      </c>
    </row>
    <row r="21" customFormat="false" ht="13" hidden="false" customHeight="false" outlineLevel="0" collapsed="false">
      <c r="A21" s="4" t="s">
        <v>11</v>
      </c>
      <c r="B21" s="5" t="n">
        <f aca="false">(B7+C7)/2</f>
        <v>34.35</v>
      </c>
      <c r="C21" s="5" t="n">
        <f aca="false">(D7+E7)/2</f>
        <v>17.55</v>
      </c>
      <c r="D21" s="5" t="n">
        <f aca="false">(F7+G7)/2</f>
        <v>26.8</v>
      </c>
      <c r="E21" s="5" t="n">
        <f aca="false">H7</f>
        <v>17.1</v>
      </c>
    </row>
    <row r="22" customFormat="false" ht="13" hidden="false" customHeight="false" outlineLevel="0" collapsed="false">
      <c r="A22" s="4" t="s">
        <v>12</v>
      </c>
      <c r="B22" s="5" t="n">
        <f aca="false">(B8+C8)/2</f>
        <v>31.75</v>
      </c>
      <c r="C22" s="5" t="n">
        <f aca="false">(D8+E8)/2</f>
        <v>18.4</v>
      </c>
      <c r="D22" s="5" t="n">
        <f aca="false">(F8+G8)/2</f>
        <v>29.65</v>
      </c>
      <c r="E22" s="5" t="n">
        <f aca="false">H8</f>
        <v>17</v>
      </c>
    </row>
    <row r="23" customFormat="false" ht="13" hidden="false" customHeight="false" outlineLevel="0" collapsed="false">
      <c r="A23" s="4" t="s">
        <v>13</v>
      </c>
      <c r="B23" s="5" t="n">
        <f aca="false">(B9+C9)/2</f>
        <v>44</v>
      </c>
      <c r="C23" s="5" t="n">
        <f aca="false">(D9+E9)/2</f>
        <v>17.9</v>
      </c>
      <c r="D23" s="5" t="n">
        <f aca="false">(F9+G9)/2</f>
        <v>33.65</v>
      </c>
      <c r="E23" s="5" t="n">
        <f aca="false">H9</f>
        <v>15.1</v>
      </c>
    </row>
    <row r="24" customFormat="false" ht="13" hidden="false" customHeight="false" outlineLevel="0" collapsed="false">
      <c r="A24" s="4" t="s">
        <v>14</v>
      </c>
      <c r="B24" s="5" t="n">
        <f aca="false">(B10+C10)/2</f>
        <v>40.95</v>
      </c>
      <c r="C24" s="5" t="n">
        <f aca="false">(D10+E10)/2</f>
        <v>15.9</v>
      </c>
      <c r="D24" s="5" t="n">
        <f aca="false">(F10+G10)/2</f>
        <v>31.8</v>
      </c>
      <c r="E24" s="5" t="n">
        <f aca="false">H10</f>
        <v>18.2</v>
      </c>
    </row>
    <row r="25" customFormat="false" ht="13" hidden="false" customHeight="false" outlineLevel="0" collapsed="false">
      <c r="A25" s="4" t="s">
        <v>15</v>
      </c>
      <c r="B25" s="5" t="n">
        <f aca="false">(B11+C11)/2</f>
        <v>47.85</v>
      </c>
      <c r="C25" s="5" t="n">
        <f aca="false">(D11+E11)/2</f>
        <v>41.2</v>
      </c>
      <c r="D25" s="5" t="n">
        <f aca="false">(F11+G11)/2</f>
        <v>37.65</v>
      </c>
      <c r="E25" s="5" t="n">
        <f aca="false">H11</f>
        <v>33.5</v>
      </c>
    </row>
    <row r="26" customFormat="false" ht="13" hidden="false" customHeight="false" outlineLevel="0" collapsed="false">
      <c r="A26" s="4" t="s">
        <v>16</v>
      </c>
      <c r="B26" s="5" t="n">
        <f aca="false">(B12+C12)/2</f>
        <v>41.7</v>
      </c>
      <c r="C26" s="5" t="n">
        <f aca="false">(D12+E12)/2</f>
        <v>36.15</v>
      </c>
      <c r="D26" s="5" t="n">
        <f aca="false">(F12+G12)/2</f>
        <v>30.75</v>
      </c>
      <c r="E26" s="5" t="n">
        <f aca="false">H12</f>
        <v>34.6</v>
      </c>
    </row>
    <row r="27" customFormat="false" ht="13" hidden="false" customHeight="false" outlineLevel="0" collapsed="false">
      <c r="A27" s="4" t="s">
        <v>17</v>
      </c>
      <c r="B27" s="5" t="n">
        <f aca="false">(B13+C13)/2</f>
        <v>54.3</v>
      </c>
      <c r="C27" s="5" t="s">
        <v>24</v>
      </c>
      <c r="D27" s="5" t="s">
        <v>24</v>
      </c>
      <c r="E27" s="5" t="s">
        <v>24</v>
      </c>
    </row>
    <row r="28" customFormat="false" ht="13" hidden="false" customHeight="false" outlineLevel="0" collapsed="false">
      <c r="A28" s="4" t="s">
        <v>18</v>
      </c>
      <c r="B28" s="5" t="n">
        <f aca="false">(B14+C14)/2</f>
        <v>53.35</v>
      </c>
      <c r="C28" s="5" t="s">
        <v>24</v>
      </c>
      <c r="D28" s="5" t="s">
        <v>24</v>
      </c>
      <c r="E28" s="5" t="s">
        <v>24</v>
      </c>
    </row>
    <row r="29" customFormat="false" ht="13" hidden="false" customHeight="false" outlineLevel="0" collapsed="false">
      <c r="A29" s="4" t="s">
        <v>19</v>
      </c>
      <c r="B29" s="5" t="n">
        <f aca="false">(B15+C15)/2</f>
        <v>20.1</v>
      </c>
      <c r="C29" s="5" t="n">
        <f aca="false">(D15+E15)/2</f>
        <v>13.8</v>
      </c>
      <c r="D29" s="5" t="n">
        <f aca="false">(F15+G15)/2</f>
        <v>15.65</v>
      </c>
      <c r="E29" s="5" t="n">
        <f aca="false">H15</f>
        <v>18.6</v>
      </c>
    </row>
    <row r="30" customFormat="false" ht="13" hidden="false" customHeight="false" outlineLevel="0" collapsed="false">
      <c r="A30" s="4" t="s">
        <v>25</v>
      </c>
      <c r="B30" s="5" t="n">
        <f aca="false">(32.1+36.9)/2</f>
        <v>34.5</v>
      </c>
      <c r="C30" s="5" t="n">
        <f aca="false">(19.3+19)/2</f>
        <v>19.15</v>
      </c>
      <c r="D30" s="5" t="n">
        <f aca="false">(28.7+26.2)/2</f>
        <v>27.45</v>
      </c>
      <c r="E30" s="5" t="n">
        <f aca="false">17.6</f>
        <v>17.6</v>
      </c>
    </row>
    <row r="31" customFormat="false" ht="14" hidden="false" customHeight="false" outlineLevel="0" collapsed="false">
      <c r="A31" s="6" t="s">
        <v>26</v>
      </c>
      <c r="B31" s="7" t="n">
        <f aca="false">(32.2+36.1)/2</f>
        <v>34.15</v>
      </c>
      <c r="C31" s="7" t="n">
        <f aca="false">(19+20.2)/2</f>
        <v>19.6</v>
      </c>
      <c r="D31" s="7" t="n">
        <f aca="false">(28.1+27.3)/2</f>
        <v>27.7</v>
      </c>
      <c r="E31" s="7" t="n">
        <f aca="false">18.5</f>
        <v>18.5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371"/>
  <sheetViews>
    <sheetView showFormulas="false" showGridLines="false" showRowColHeaders="true" showZeros="true" rightToLeft="false" tabSelected="false" showOutlineSymbols="true" defaultGridColor="true" view="normal" topLeftCell="A344" colorId="64" zoomScale="100" zoomScaleNormal="100" zoomScalePageLayoutView="100" workbookViewId="0">
      <selection pane="topLeft" activeCell="B3" activeCellId="0" sqref="B3:K55"/>
    </sheetView>
  </sheetViews>
  <sheetFormatPr defaultColWidth="7.828125" defaultRowHeight="13" customHeight="false" zeroHeight="false" outlineLevelRow="0" outlineLevelCol="0"/>
  <cols>
    <col collapsed="false" customWidth="true" hidden="false" outlineLevel="0" max="2" min="2" style="0" width="8.83"/>
  </cols>
  <sheetData>
    <row r="1" customFormat="false" ht="13" hidden="false" customHeight="false" outlineLevel="0" collapsed="false">
      <c r="I1" s="8" t="s">
        <v>27</v>
      </c>
    </row>
    <row r="3" customFormat="false" ht="13" hidden="false" customHeight="false" outlineLevel="0" collapsed="false">
      <c r="C3" s="0" t="s">
        <v>28</v>
      </c>
      <c r="D3" s="0" t="s">
        <v>29</v>
      </c>
    </row>
    <row r="4" customFormat="false" ht="13" hidden="false" customHeight="false" outlineLevel="0" collapsed="false">
      <c r="E4" s="0" t="s">
        <v>1</v>
      </c>
    </row>
    <row r="6" customFormat="false" ht="13" hidden="false" customHeight="false" outlineLevel="0" collapsed="false">
      <c r="D6" s="1" t="s">
        <v>30</v>
      </c>
      <c r="E6" s="1" t="s">
        <v>31</v>
      </c>
      <c r="F6" s="1" t="s">
        <v>32</v>
      </c>
      <c r="G6" s="1" t="s">
        <v>33</v>
      </c>
      <c r="H6" s="1" t="s">
        <v>34</v>
      </c>
      <c r="I6" s="1" t="s">
        <v>35</v>
      </c>
      <c r="J6" s="1" t="s">
        <v>36</v>
      </c>
    </row>
    <row r="8" customFormat="false" ht="13" hidden="false" customHeight="false" outlineLevel="0" collapsed="false">
      <c r="B8" s="0" t="s">
        <v>37</v>
      </c>
      <c r="C8" s="0" t="n">
        <v>1968</v>
      </c>
      <c r="D8" s="0" t="n">
        <v>28.3</v>
      </c>
      <c r="E8" s="0" t="n">
        <v>32.5</v>
      </c>
      <c r="F8" s="0" t="n">
        <v>19.2</v>
      </c>
      <c r="G8" s="0" t="n">
        <v>17.8</v>
      </c>
      <c r="H8" s="0" t="n">
        <v>27.3</v>
      </c>
      <c r="I8" s="0" t="n">
        <v>24.4</v>
      </c>
      <c r="J8" s="0" t="n">
        <v>17.9</v>
      </c>
    </row>
    <row r="9" customFormat="false" ht="13" hidden="false" customHeight="false" outlineLevel="0" collapsed="false">
      <c r="D9" s="8" t="s">
        <v>38</v>
      </c>
      <c r="E9" s="8" t="s">
        <v>38</v>
      </c>
      <c r="F9" s="8" t="s">
        <v>39</v>
      </c>
      <c r="G9" s="8" t="s">
        <v>39</v>
      </c>
      <c r="H9" s="8" t="s">
        <v>40</v>
      </c>
      <c r="I9" s="8" t="s">
        <v>41</v>
      </c>
      <c r="J9" s="8" t="s">
        <v>39</v>
      </c>
    </row>
    <row r="10" customFormat="false" ht="13" hidden="false" customHeight="false" outlineLevel="0" collapsed="false">
      <c r="D10" s="0" t="n">
        <v>11633</v>
      </c>
      <c r="E10" s="0" t="n">
        <v>9124</v>
      </c>
      <c r="F10" s="0" t="n">
        <v>3823</v>
      </c>
      <c r="G10" s="0" t="n">
        <v>3656</v>
      </c>
      <c r="H10" s="0" t="n">
        <v>996</v>
      </c>
      <c r="I10" s="0" t="n">
        <v>341</v>
      </c>
      <c r="J10" s="0" t="n">
        <v>738</v>
      </c>
    </row>
    <row r="11" customFormat="false" ht="13" hidden="false" customHeight="false" outlineLevel="0" collapsed="false">
      <c r="C11" s="0" t="n">
        <v>1988</v>
      </c>
      <c r="D11" s="0" t="n">
        <v>28.9</v>
      </c>
      <c r="E11" s="0" t="n">
        <v>32.5</v>
      </c>
      <c r="F11" s="0" t="n">
        <v>18.6</v>
      </c>
      <c r="G11" s="0" t="n">
        <v>19.9</v>
      </c>
      <c r="H11" s="0" t="n">
        <v>26.6</v>
      </c>
      <c r="I11" s="0" t="n">
        <v>25.8</v>
      </c>
      <c r="J11" s="0" t="n">
        <v>17.8</v>
      </c>
    </row>
    <row r="12" customFormat="false" ht="13" hidden="false" customHeight="false" outlineLevel="0" collapsed="false">
      <c r="D12" s="8" t="s">
        <v>42</v>
      </c>
      <c r="E12" s="8" t="s">
        <v>38</v>
      </c>
      <c r="F12" s="8" t="s">
        <v>39</v>
      </c>
      <c r="G12" s="8" t="s">
        <v>39</v>
      </c>
      <c r="H12" s="8" t="s">
        <v>41</v>
      </c>
      <c r="I12" s="8" t="s">
        <v>43</v>
      </c>
      <c r="J12" s="8" t="s">
        <v>39</v>
      </c>
    </row>
    <row r="13" customFormat="false" ht="13" hidden="false" customHeight="false" outlineLevel="0" collapsed="false">
      <c r="D13" s="0" t="n">
        <v>3260</v>
      </c>
      <c r="E13" s="0" t="n">
        <v>2181</v>
      </c>
      <c r="F13" s="0" t="n">
        <v>1378</v>
      </c>
      <c r="G13" s="0" t="n">
        <v>1456</v>
      </c>
      <c r="H13" s="0" t="n">
        <v>847</v>
      </c>
      <c r="I13" s="0" t="n">
        <v>734</v>
      </c>
      <c r="J13" s="0" t="n">
        <v>726</v>
      </c>
    </row>
    <row r="15" customFormat="false" ht="13" hidden="false" customHeight="false" outlineLevel="0" collapsed="false">
      <c r="B15" s="0" t="s">
        <v>44</v>
      </c>
      <c r="C15" s="0" t="n">
        <v>1968</v>
      </c>
      <c r="D15" s="0" t="n">
        <v>32.3</v>
      </c>
      <c r="E15" s="0" t="n">
        <v>36.4</v>
      </c>
      <c r="F15" s="0" t="n">
        <v>17.2</v>
      </c>
      <c r="G15" s="0" t="n">
        <v>17.9</v>
      </c>
      <c r="H15" s="0" t="n">
        <v>27.8</v>
      </c>
      <c r="I15" s="0" t="n">
        <v>25.8</v>
      </c>
      <c r="J15" s="0" t="n">
        <v>17.1</v>
      </c>
    </row>
    <row r="16" customFormat="false" ht="13" hidden="false" customHeight="false" outlineLevel="0" collapsed="false">
      <c r="D16" s="8" t="s">
        <v>38</v>
      </c>
      <c r="E16" s="8" t="s">
        <v>38</v>
      </c>
      <c r="F16" s="8" t="s">
        <v>39</v>
      </c>
      <c r="G16" s="8" t="s">
        <v>39</v>
      </c>
      <c r="H16" s="8" t="s">
        <v>40</v>
      </c>
      <c r="I16" s="8" t="s">
        <v>45</v>
      </c>
      <c r="J16" s="8" t="s">
        <v>39</v>
      </c>
    </row>
    <row r="17" customFormat="false" ht="13" hidden="false" customHeight="false" outlineLevel="0" collapsed="false">
      <c r="D17" s="0" t="n">
        <v>4962</v>
      </c>
      <c r="E17" s="0" t="n">
        <v>3792</v>
      </c>
      <c r="F17" s="0" t="n">
        <v>7068</v>
      </c>
      <c r="G17" s="0" t="n">
        <v>4191</v>
      </c>
      <c r="H17" s="0" t="n">
        <v>399</v>
      </c>
      <c r="I17" s="0" t="n">
        <v>178</v>
      </c>
      <c r="J17" s="0" t="n">
        <v>1337</v>
      </c>
    </row>
    <row r="18" customFormat="false" ht="13" hidden="false" customHeight="false" outlineLevel="0" collapsed="false">
      <c r="C18" s="0" t="n">
        <v>1988</v>
      </c>
      <c r="D18" s="0" t="n">
        <v>31.2</v>
      </c>
      <c r="E18" s="0" t="n">
        <v>32.3</v>
      </c>
      <c r="F18" s="0" t="n">
        <v>18.1</v>
      </c>
      <c r="G18" s="0" t="n">
        <v>18.7</v>
      </c>
      <c r="H18" s="0" t="n">
        <v>26.4</v>
      </c>
      <c r="I18" s="0" t="n">
        <v>32.9</v>
      </c>
      <c r="J18" s="0" t="n">
        <v>17</v>
      </c>
    </row>
    <row r="19" customFormat="false" ht="13" hidden="false" customHeight="false" outlineLevel="0" collapsed="false">
      <c r="D19" s="8" t="s">
        <v>38</v>
      </c>
      <c r="E19" s="8" t="s">
        <v>38</v>
      </c>
      <c r="F19" s="8" t="s">
        <v>39</v>
      </c>
      <c r="G19" s="8" t="s">
        <v>39</v>
      </c>
      <c r="H19" s="8" t="s">
        <v>41</v>
      </c>
      <c r="I19" s="8" t="s">
        <v>38</v>
      </c>
      <c r="J19" s="8" t="s">
        <v>39</v>
      </c>
    </row>
    <row r="20" customFormat="false" ht="13" hidden="false" customHeight="false" outlineLevel="0" collapsed="false">
      <c r="D20" s="0" t="n">
        <v>311</v>
      </c>
      <c r="E20" s="0" t="n">
        <v>196</v>
      </c>
      <c r="F20" s="0" t="n">
        <v>1025</v>
      </c>
      <c r="G20" s="0" t="n">
        <v>651</v>
      </c>
      <c r="H20" s="0" t="n">
        <v>180</v>
      </c>
      <c r="I20" s="0" t="n">
        <v>148</v>
      </c>
      <c r="J20" s="0" t="n">
        <v>530</v>
      </c>
    </row>
    <row r="22" customFormat="false" ht="13" hidden="false" customHeight="false" outlineLevel="0" collapsed="false">
      <c r="B22" s="0" t="s">
        <v>46</v>
      </c>
      <c r="C22" s="0" t="n">
        <v>1968</v>
      </c>
      <c r="D22" s="0" t="n">
        <v>40.7</v>
      </c>
      <c r="E22" s="0" t="n">
        <v>47.3</v>
      </c>
      <c r="F22" s="0" t="n">
        <v>17.3</v>
      </c>
      <c r="G22" s="0" t="n">
        <v>18.5</v>
      </c>
      <c r="H22" s="0" t="n">
        <v>32.3</v>
      </c>
      <c r="I22" s="9" t="n">
        <v>35</v>
      </c>
      <c r="J22" s="0" t="n">
        <v>15.1</v>
      </c>
    </row>
    <row r="23" customFormat="false" ht="13" hidden="false" customHeight="false" outlineLevel="0" collapsed="false">
      <c r="D23" s="8" t="s">
        <v>47</v>
      </c>
      <c r="E23" s="8" t="s">
        <v>48</v>
      </c>
      <c r="F23" s="8" t="s">
        <v>49</v>
      </c>
      <c r="G23" s="8" t="s">
        <v>39</v>
      </c>
      <c r="H23" s="8" t="s">
        <v>38</v>
      </c>
      <c r="I23" s="8" t="s">
        <v>40</v>
      </c>
      <c r="J23" s="8" t="s">
        <v>49</v>
      </c>
    </row>
    <row r="24" customFormat="false" ht="13" hidden="false" customHeight="false" outlineLevel="0" collapsed="false">
      <c r="D24" s="0" t="n">
        <v>403</v>
      </c>
      <c r="E24" s="0" t="n">
        <v>324</v>
      </c>
      <c r="F24" s="0" t="n">
        <v>1194</v>
      </c>
      <c r="G24" s="0" t="n">
        <v>745</v>
      </c>
      <c r="H24" s="0" t="n">
        <v>33</v>
      </c>
      <c r="I24" s="0" t="n">
        <v>27</v>
      </c>
      <c r="J24" s="0" t="n">
        <v>256</v>
      </c>
    </row>
    <row r="25" customFormat="false" ht="13" hidden="false" customHeight="false" outlineLevel="0" collapsed="false">
      <c r="C25" s="0" t="n">
        <v>1988</v>
      </c>
      <c r="D25" s="0" t="n">
        <v>37.8</v>
      </c>
      <c r="E25" s="0" t="n">
        <v>44.1</v>
      </c>
      <c r="F25" s="0" t="n">
        <v>16.7</v>
      </c>
      <c r="G25" s="0" t="n">
        <v>15.1</v>
      </c>
      <c r="H25" s="0" t="n">
        <v>30.1</v>
      </c>
      <c r="I25" s="0" t="n">
        <v>33.5</v>
      </c>
      <c r="J25" s="0" t="n">
        <v>18.2</v>
      </c>
    </row>
    <row r="26" customFormat="false" ht="13" hidden="false" customHeight="false" outlineLevel="0" collapsed="false">
      <c r="D26" s="8" t="s">
        <v>50</v>
      </c>
      <c r="E26" s="8" t="s">
        <v>48</v>
      </c>
      <c r="F26" s="8" t="s">
        <v>39</v>
      </c>
      <c r="G26" s="8" t="s">
        <v>39</v>
      </c>
      <c r="H26" s="8" t="s">
        <v>40</v>
      </c>
      <c r="I26" s="8" t="s">
        <v>38</v>
      </c>
      <c r="J26" s="8" t="s">
        <v>39</v>
      </c>
    </row>
    <row r="27" customFormat="false" ht="13" hidden="false" customHeight="false" outlineLevel="0" collapsed="false">
      <c r="D27" s="0" t="n">
        <v>105</v>
      </c>
      <c r="E27" s="0" t="n">
        <v>70</v>
      </c>
      <c r="F27" s="0" t="n">
        <v>601</v>
      </c>
      <c r="G27" s="0" t="n">
        <v>298</v>
      </c>
      <c r="H27" s="0" t="n">
        <v>57</v>
      </c>
      <c r="I27" s="0" t="n">
        <v>50</v>
      </c>
      <c r="J27" s="0" t="n">
        <v>233</v>
      </c>
    </row>
    <row r="29" customFormat="false" ht="13" hidden="false" customHeight="false" outlineLevel="0" collapsed="false">
      <c r="B29" s="0" t="s">
        <v>51</v>
      </c>
      <c r="C29" s="0" t="n">
        <v>1968</v>
      </c>
      <c r="D29" s="0" t="n">
        <v>44.3</v>
      </c>
      <c r="E29" s="0" t="n">
        <v>51.4</v>
      </c>
      <c r="F29" s="0" t="n">
        <v>39.6</v>
      </c>
      <c r="G29" s="0" t="n">
        <v>42.8</v>
      </c>
      <c r="H29" s="0" t="n">
        <v>38.5</v>
      </c>
      <c r="I29" s="0" t="n">
        <v>36.8</v>
      </c>
      <c r="J29" s="0" t="n">
        <v>33.5</v>
      </c>
    </row>
    <row r="30" customFormat="false" ht="13" hidden="false" customHeight="false" outlineLevel="0" collapsed="false">
      <c r="D30" s="8" t="s">
        <v>52</v>
      </c>
      <c r="E30" s="8" t="s">
        <v>48</v>
      </c>
      <c r="F30" s="8" t="s">
        <v>50</v>
      </c>
      <c r="G30" s="8" t="s">
        <v>50</v>
      </c>
      <c r="H30" s="8" t="s">
        <v>38</v>
      </c>
      <c r="I30" s="8" t="s">
        <v>38</v>
      </c>
      <c r="J30" s="8" t="s">
        <v>38</v>
      </c>
    </row>
    <row r="31" customFormat="false" ht="13" hidden="false" customHeight="false" outlineLevel="0" collapsed="false">
      <c r="D31" s="0" t="n">
        <v>3176</v>
      </c>
      <c r="E31" s="0" t="n">
        <v>2693</v>
      </c>
      <c r="F31" s="0" t="n">
        <v>875</v>
      </c>
      <c r="G31" s="0" t="n">
        <v>391</v>
      </c>
      <c r="H31" s="0" t="n">
        <v>172</v>
      </c>
      <c r="I31" s="0" t="n">
        <v>44</v>
      </c>
      <c r="J31" s="0" t="n">
        <v>72</v>
      </c>
    </row>
    <row r="32" customFormat="false" ht="13" hidden="false" customHeight="false" outlineLevel="0" collapsed="false">
      <c r="C32" s="0" t="n">
        <v>1988</v>
      </c>
      <c r="D32" s="0" t="n">
        <v>39.6</v>
      </c>
      <c r="E32" s="0" t="n">
        <v>43.8</v>
      </c>
      <c r="F32" s="0" t="n">
        <v>36</v>
      </c>
      <c r="G32" s="0" t="n">
        <v>36.3</v>
      </c>
      <c r="H32" s="0" t="n">
        <v>37.6</v>
      </c>
      <c r="I32" s="0" t="n">
        <v>23.9</v>
      </c>
      <c r="J32" s="0" t="n">
        <v>34.6</v>
      </c>
    </row>
    <row r="33" customFormat="false" ht="13" hidden="false" customHeight="false" outlineLevel="0" collapsed="false">
      <c r="D33" s="8" t="s">
        <v>50</v>
      </c>
      <c r="E33" s="8" t="s">
        <v>52</v>
      </c>
      <c r="F33" s="8" t="s">
        <v>38</v>
      </c>
      <c r="G33" s="8" t="s">
        <v>38</v>
      </c>
      <c r="H33" s="8" t="s">
        <v>38</v>
      </c>
      <c r="I33" s="8" t="s">
        <v>53</v>
      </c>
      <c r="J33" s="8" t="s">
        <v>38</v>
      </c>
    </row>
    <row r="34" customFormat="false" ht="13" hidden="false" customHeight="false" outlineLevel="0" collapsed="false">
      <c r="D34" s="0" t="n">
        <v>761</v>
      </c>
      <c r="E34" s="0" t="n">
        <v>637</v>
      </c>
      <c r="F34" s="0" t="n">
        <v>167</v>
      </c>
      <c r="G34" s="0" t="n">
        <v>176</v>
      </c>
      <c r="H34" s="0" t="n">
        <v>159</v>
      </c>
      <c r="I34" s="0" t="n">
        <v>104</v>
      </c>
      <c r="J34" s="0" t="n">
        <v>80</v>
      </c>
    </row>
    <row r="36" customFormat="false" ht="13" hidden="false" customHeight="false" outlineLevel="0" collapsed="false">
      <c r="B36" s="0" t="s">
        <v>54</v>
      </c>
      <c r="C36" s="0" t="n">
        <v>1968</v>
      </c>
    </row>
    <row r="39" customFormat="false" ht="13" hidden="false" customHeight="false" outlineLevel="0" collapsed="false">
      <c r="C39" s="0" t="n">
        <v>1988</v>
      </c>
      <c r="D39" s="0" t="n">
        <v>55.5</v>
      </c>
      <c r="E39" s="0" t="n">
        <v>53.1</v>
      </c>
      <c r="F39" s="0" t="n">
        <v>36</v>
      </c>
      <c r="I39" s="0" t="n">
        <v>43.7</v>
      </c>
    </row>
    <row r="40" customFormat="false" ht="13" hidden="false" customHeight="false" outlineLevel="0" collapsed="false">
      <c r="D40" s="8" t="s">
        <v>55</v>
      </c>
      <c r="E40" s="8" t="s">
        <v>56</v>
      </c>
      <c r="F40" s="8" t="s">
        <v>50</v>
      </c>
      <c r="I40" s="8" t="s">
        <v>47</v>
      </c>
    </row>
    <row r="41" customFormat="false" ht="13" hidden="false" customHeight="false" outlineLevel="0" collapsed="false">
      <c r="D41" s="0" t="n">
        <v>146</v>
      </c>
      <c r="E41" s="0" t="n">
        <v>91</v>
      </c>
      <c r="F41" s="0" t="n">
        <v>4</v>
      </c>
      <c r="G41" s="0" t="n">
        <v>2</v>
      </c>
      <c r="I41" s="0" t="n">
        <v>21</v>
      </c>
      <c r="J41" s="0" t="n">
        <v>4</v>
      </c>
    </row>
    <row r="43" customFormat="false" ht="13" hidden="false" customHeight="false" outlineLevel="0" collapsed="false">
      <c r="B43" s="0" t="s">
        <v>57</v>
      </c>
      <c r="C43" s="0" t="n">
        <v>1968</v>
      </c>
    </row>
    <row r="46" customFormat="false" ht="13" hidden="false" customHeight="false" outlineLevel="0" collapsed="false">
      <c r="C46" s="0" t="n">
        <v>1988</v>
      </c>
      <c r="D46" s="0" t="n">
        <v>49.3</v>
      </c>
      <c r="E46" s="0" t="n">
        <v>57.4</v>
      </c>
    </row>
    <row r="47" customFormat="false" ht="13" hidden="false" customHeight="false" outlineLevel="0" collapsed="false">
      <c r="D47" s="8" t="s">
        <v>58</v>
      </c>
      <c r="E47" s="8" t="s">
        <v>56</v>
      </c>
    </row>
    <row r="48" customFormat="false" ht="13" hidden="false" customHeight="false" outlineLevel="0" collapsed="false">
      <c r="D48" s="0" t="n">
        <v>84</v>
      </c>
      <c r="E48" s="0" t="n">
        <v>72</v>
      </c>
      <c r="F48" s="0" t="n">
        <v>3</v>
      </c>
      <c r="G48" s="0" t="n">
        <v>4</v>
      </c>
      <c r="I48" s="0" t="n">
        <v>7</v>
      </c>
      <c r="J48" s="0" t="n">
        <v>3</v>
      </c>
    </row>
    <row r="50" customFormat="false" ht="13" hidden="false" customHeight="false" outlineLevel="0" collapsed="false">
      <c r="B50" s="0" t="s">
        <v>59</v>
      </c>
      <c r="C50" s="0" t="n">
        <v>1968</v>
      </c>
      <c r="D50" s="0" t="n">
        <v>14.4</v>
      </c>
    </row>
    <row r="51" customFormat="false" ht="13" hidden="false" customHeight="false" outlineLevel="0" collapsed="false">
      <c r="D51" s="8" t="s">
        <v>49</v>
      </c>
    </row>
    <row r="52" customFormat="false" ht="13" hidden="false" customHeight="false" outlineLevel="0" collapsed="false">
      <c r="D52" s="0" t="n">
        <v>773</v>
      </c>
      <c r="E52" s="0" t="n">
        <v>1</v>
      </c>
    </row>
    <row r="53" customFormat="false" ht="13" hidden="false" customHeight="false" outlineLevel="0" collapsed="false">
      <c r="C53" s="0" t="n">
        <v>1988</v>
      </c>
      <c r="D53" s="0" t="n">
        <v>20.3</v>
      </c>
      <c r="E53" s="0" t="n">
        <v>19.9</v>
      </c>
      <c r="F53" s="0" t="n">
        <v>13.6</v>
      </c>
      <c r="G53" s="0" t="n">
        <v>14</v>
      </c>
      <c r="H53" s="0" t="n">
        <v>16.8</v>
      </c>
      <c r="I53" s="0" t="n">
        <v>14.5</v>
      </c>
      <c r="J53" s="0" t="n">
        <v>18.6</v>
      </c>
    </row>
    <row r="54" customFormat="false" ht="13" hidden="false" customHeight="false" outlineLevel="0" collapsed="false">
      <c r="D54" s="8" t="s">
        <v>39</v>
      </c>
      <c r="E54" s="8" t="s">
        <v>60</v>
      </c>
      <c r="F54" s="8" t="s">
        <v>49</v>
      </c>
      <c r="G54" s="8" t="s">
        <v>49</v>
      </c>
      <c r="H54" s="8" t="s">
        <v>39</v>
      </c>
      <c r="I54" s="8" t="s">
        <v>49</v>
      </c>
      <c r="J54" s="8" t="s">
        <v>61</v>
      </c>
    </row>
    <row r="55" customFormat="false" ht="13" hidden="false" customHeight="false" outlineLevel="0" collapsed="false">
      <c r="D55" s="0" t="n">
        <v>250</v>
      </c>
      <c r="E55" s="0" t="n">
        <v>181</v>
      </c>
      <c r="F55" s="0" t="n">
        <v>425</v>
      </c>
      <c r="G55" s="0" t="n">
        <v>217</v>
      </c>
      <c r="H55" s="0" t="n">
        <v>84</v>
      </c>
      <c r="I55" s="0" t="n">
        <v>87</v>
      </c>
      <c r="J55" s="0" t="n">
        <v>106</v>
      </c>
    </row>
    <row r="61" customFormat="false" ht="13" hidden="false" customHeight="false" outlineLevel="0" collapsed="false">
      <c r="D61" s="0" t="s">
        <v>62</v>
      </c>
    </row>
    <row r="62" customFormat="false" ht="13" hidden="false" customHeight="false" outlineLevel="0" collapsed="false">
      <c r="E62" s="0" t="s">
        <v>1</v>
      </c>
    </row>
    <row r="64" customFormat="false" ht="13" hidden="false" customHeight="false" outlineLevel="0" collapsed="false">
      <c r="D64" s="1" t="s">
        <v>30</v>
      </c>
      <c r="E64" s="1" t="s">
        <v>31</v>
      </c>
      <c r="F64" s="1" t="s">
        <v>32</v>
      </c>
      <c r="G64" s="1" t="s">
        <v>33</v>
      </c>
      <c r="H64" s="1" t="s">
        <v>34</v>
      </c>
      <c r="I64" s="1" t="s">
        <v>35</v>
      </c>
      <c r="J64" s="1" t="s">
        <v>36</v>
      </c>
    </row>
    <row r="69" customFormat="false" ht="13" hidden="false" customHeight="false" outlineLevel="0" collapsed="false">
      <c r="B69" s="0" t="s">
        <v>37</v>
      </c>
      <c r="C69" s="0" t="n">
        <v>1968</v>
      </c>
      <c r="D69" s="0" t="n">
        <v>6.9</v>
      </c>
      <c r="E69" s="0" t="n">
        <v>6.9</v>
      </c>
      <c r="F69" s="0" t="n">
        <v>4.5</v>
      </c>
      <c r="G69" s="9" t="n">
        <v>4</v>
      </c>
      <c r="H69" s="9" t="n">
        <v>5.5</v>
      </c>
      <c r="I69" s="9" t="n">
        <v>5</v>
      </c>
      <c r="J69" s="9" t="n">
        <v>3.8</v>
      </c>
      <c r="K69" s="9"/>
      <c r="L69" s="9"/>
    </row>
    <row r="70" customFormat="false" ht="13" hidden="false" customHeight="false" outlineLevel="0" collapsed="false">
      <c r="D70" s="8" t="s">
        <v>63</v>
      </c>
      <c r="E70" s="8" t="s">
        <v>63</v>
      </c>
      <c r="F70" s="8" t="s">
        <v>64</v>
      </c>
      <c r="G70" s="10" t="s">
        <v>64</v>
      </c>
      <c r="H70" s="10" t="s">
        <v>65</v>
      </c>
      <c r="I70" s="10" t="s">
        <v>66</v>
      </c>
      <c r="J70" s="10" t="s">
        <v>64</v>
      </c>
      <c r="K70" s="9"/>
      <c r="L70" s="9"/>
    </row>
    <row r="71" customFormat="false" ht="13" hidden="false" customHeight="false" outlineLevel="0" collapsed="false">
      <c r="G71" s="9"/>
      <c r="H71" s="9"/>
      <c r="I71" s="9"/>
      <c r="J71" s="9"/>
      <c r="K71" s="9"/>
      <c r="L71" s="9"/>
    </row>
    <row r="72" customFormat="false" ht="13" hidden="false" customHeight="false" outlineLevel="0" collapsed="false">
      <c r="C72" s="0" t="n">
        <v>1988</v>
      </c>
      <c r="D72" s="0" t="n">
        <v>7.8</v>
      </c>
      <c r="E72" s="0" t="n">
        <v>8.3</v>
      </c>
      <c r="F72" s="0" t="n">
        <v>4.2</v>
      </c>
      <c r="G72" s="9" t="n">
        <v>4.5</v>
      </c>
      <c r="H72" s="9" t="n">
        <v>6.4</v>
      </c>
      <c r="I72" s="9" t="n">
        <v>6.3</v>
      </c>
      <c r="J72" s="9" t="n">
        <v>5</v>
      </c>
      <c r="K72" s="9"/>
      <c r="L72" s="9"/>
    </row>
    <row r="73" customFormat="false" ht="13" hidden="false" customHeight="false" outlineLevel="0" collapsed="false">
      <c r="D73" s="8" t="s">
        <v>67</v>
      </c>
      <c r="E73" s="8" t="s">
        <v>68</v>
      </c>
      <c r="F73" s="8" t="s">
        <v>64</v>
      </c>
      <c r="G73" s="10" t="s">
        <v>64</v>
      </c>
      <c r="H73" s="10" t="s">
        <v>65</v>
      </c>
      <c r="I73" s="10" t="s">
        <v>65</v>
      </c>
      <c r="J73" s="10" t="s">
        <v>66</v>
      </c>
      <c r="K73" s="9"/>
      <c r="L73" s="9"/>
    </row>
    <row r="74" customFormat="false" ht="13" hidden="false" customHeight="false" outlineLevel="0" collapsed="false">
      <c r="G74" s="9"/>
      <c r="H74" s="9"/>
      <c r="I74" s="9"/>
      <c r="J74" s="9"/>
      <c r="K74" s="9"/>
      <c r="L74" s="9"/>
    </row>
    <row r="75" customFormat="false" ht="13" hidden="false" customHeight="false" outlineLevel="0" collapsed="false">
      <c r="G75" s="9"/>
      <c r="H75" s="9"/>
      <c r="I75" s="9"/>
      <c r="J75" s="9"/>
      <c r="K75" s="9"/>
      <c r="L75" s="9"/>
    </row>
    <row r="76" customFormat="false" ht="13" hidden="false" customHeight="false" outlineLevel="0" collapsed="false">
      <c r="B76" s="0" t="s">
        <v>44</v>
      </c>
      <c r="C76" s="0" t="n">
        <v>1968</v>
      </c>
      <c r="D76" s="0" t="n">
        <v>6.8</v>
      </c>
      <c r="E76" s="0" t="n">
        <v>6.9</v>
      </c>
      <c r="F76" s="0" t="n">
        <v>3.9</v>
      </c>
      <c r="G76" s="9" t="n">
        <v>3.9</v>
      </c>
      <c r="H76" s="9" t="n">
        <v>5.3</v>
      </c>
      <c r="I76" s="9" t="n">
        <v>6</v>
      </c>
      <c r="J76" s="9" t="n">
        <v>3.5</v>
      </c>
      <c r="K76" s="9"/>
      <c r="L76" s="9"/>
    </row>
    <row r="77" customFormat="false" ht="13" hidden="false" customHeight="false" outlineLevel="0" collapsed="false">
      <c r="D77" s="8" t="s">
        <v>63</v>
      </c>
      <c r="E77" s="8" t="s">
        <v>63</v>
      </c>
      <c r="F77" s="8" t="s">
        <v>64</v>
      </c>
      <c r="G77" s="10" t="s">
        <v>64</v>
      </c>
      <c r="H77" s="10" t="s">
        <v>65</v>
      </c>
      <c r="I77" s="10" t="s">
        <v>65</v>
      </c>
      <c r="J77" s="10" t="s">
        <v>64</v>
      </c>
      <c r="K77" s="9"/>
      <c r="L77" s="9"/>
    </row>
    <row r="78" customFormat="false" ht="13" hidden="false" customHeight="false" outlineLevel="0" collapsed="false">
      <c r="G78" s="9"/>
      <c r="H78" s="9"/>
      <c r="I78" s="9"/>
      <c r="J78" s="9"/>
      <c r="K78" s="9"/>
      <c r="L78" s="9"/>
    </row>
    <row r="79" customFormat="false" ht="13" hidden="false" customHeight="false" outlineLevel="0" collapsed="false">
      <c r="C79" s="0" t="n">
        <v>1988</v>
      </c>
      <c r="D79" s="0" t="n">
        <v>8.6</v>
      </c>
      <c r="E79" s="0" t="n">
        <v>8</v>
      </c>
      <c r="F79" s="0" t="n">
        <v>4.2</v>
      </c>
      <c r="G79" s="9" t="n">
        <v>3.9</v>
      </c>
      <c r="H79" s="9" t="n">
        <v>5.7</v>
      </c>
      <c r="I79" s="9" t="n">
        <v>7.5</v>
      </c>
      <c r="J79" s="9" t="n">
        <v>4.4</v>
      </c>
      <c r="K79" s="9"/>
      <c r="L79" s="9"/>
    </row>
    <row r="80" customFormat="false" ht="13" hidden="false" customHeight="false" outlineLevel="0" collapsed="false">
      <c r="D80" s="8" t="s">
        <v>67</v>
      </c>
      <c r="E80" s="8" t="s">
        <v>68</v>
      </c>
      <c r="F80" s="8" t="s">
        <v>64</v>
      </c>
      <c r="G80" s="10" t="s">
        <v>64</v>
      </c>
      <c r="H80" s="10" t="s">
        <v>66</v>
      </c>
      <c r="I80" s="10" t="s">
        <v>67</v>
      </c>
      <c r="J80" s="10" t="s">
        <v>64</v>
      </c>
      <c r="K80" s="9"/>
      <c r="L80" s="9"/>
    </row>
    <row r="81" customFormat="false" ht="13" hidden="false" customHeight="false" outlineLevel="0" collapsed="false">
      <c r="G81" s="9"/>
      <c r="H81" s="9"/>
      <c r="I81" s="9"/>
      <c r="J81" s="9"/>
      <c r="K81" s="9"/>
      <c r="L81" s="9"/>
    </row>
    <row r="82" customFormat="false" ht="13" hidden="false" customHeight="false" outlineLevel="0" collapsed="false">
      <c r="G82" s="9"/>
      <c r="H82" s="9"/>
      <c r="I82" s="9"/>
      <c r="J82" s="9"/>
      <c r="K82" s="9"/>
      <c r="L82" s="9"/>
    </row>
    <row r="83" customFormat="false" ht="13" hidden="false" customHeight="false" outlineLevel="0" collapsed="false">
      <c r="B83" s="0" t="s">
        <v>46</v>
      </c>
      <c r="C83" s="0" t="n">
        <v>1968</v>
      </c>
      <c r="D83" s="0" t="n">
        <v>7.7</v>
      </c>
      <c r="E83" s="0" t="n">
        <v>9.8</v>
      </c>
      <c r="F83" s="0" t="n">
        <v>3.9</v>
      </c>
      <c r="G83" s="9" t="n">
        <v>3.9</v>
      </c>
      <c r="H83" s="9" t="n">
        <v>6</v>
      </c>
      <c r="I83" s="9" t="n">
        <v>5.7</v>
      </c>
      <c r="J83" s="9" t="n">
        <v>3.4</v>
      </c>
      <c r="K83" s="9"/>
      <c r="L83" s="9"/>
    </row>
    <row r="84" customFormat="false" ht="13" hidden="false" customHeight="false" outlineLevel="0" collapsed="false">
      <c r="D84" s="8" t="s">
        <v>67</v>
      </c>
      <c r="E84" s="8" t="s">
        <v>69</v>
      </c>
      <c r="F84" s="8" t="s">
        <v>64</v>
      </c>
      <c r="G84" s="10" t="s">
        <v>64</v>
      </c>
      <c r="H84" s="10" t="s">
        <v>67</v>
      </c>
      <c r="I84" s="10" t="s">
        <v>66</v>
      </c>
      <c r="J84" s="10" t="s">
        <v>64</v>
      </c>
      <c r="K84" s="9"/>
      <c r="L84" s="9"/>
    </row>
    <row r="85" customFormat="false" ht="13" hidden="false" customHeight="false" outlineLevel="0" collapsed="false">
      <c r="G85" s="9"/>
      <c r="H85" s="9"/>
      <c r="I85" s="9"/>
      <c r="J85" s="9"/>
      <c r="K85" s="9"/>
      <c r="L85" s="9"/>
    </row>
    <row r="86" customFormat="false" ht="13" hidden="false" customHeight="false" outlineLevel="0" collapsed="false">
      <c r="C86" s="0" t="n">
        <v>1988</v>
      </c>
      <c r="D86" s="0" t="n">
        <v>10.1</v>
      </c>
      <c r="E86" s="0" t="n">
        <v>11.5</v>
      </c>
      <c r="F86" s="0" t="n">
        <v>3.4</v>
      </c>
      <c r="G86" s="9" t="n">
        <v>3.8</v>
      </c>
      <c r="H86" s="9" t="n">
        <v>6.1</v>
      </c>
      <c r="I86" s="9" t="n">
        <v>13</v>
      </c>
      <c r="J86" s="9" t="n">
        <v>5.9</v>
      </c>
      <c r="K86" s="9"/>
      <c r="L86" s="9"/>
    </row>
    <row r="87" customFormat="false" ht="13" hidden="false" customHeight="false" outlineLevel="0" collapsed="false">
      <c r="D87" s="8" t="s">
        <v>70</v>
      </c>
      <c r="E87" s="8" t="s">
        <v>71</v>
      </c>
      <c r="F87" s="8" t="s">
        <v>64</v>
      </c>
      <c r="G87" s="10" t="s">
        <v>64</v>
      </c>
      <c r="H87" s="10" t="s">
        <v>66</v>
      </c>
      <c r="I87" s="10" t="s">
        <v>72</v>
      </c>
      <c r="J87" s="10" t="s">
        <v>64</v>
      </c>
      <c r="K87" s="9"/>
      <c r="L87" s="9"/>
    </row>
    <row r="88" customFormat="false" ht="13" hidden="false" customHeight="false" outlineLevel="0" collapsed="false">
      <c r="G88" s="9"/>
      <c r="H88" s="9"/>
      <c r="I88" s="9"/>
      <c r="J88" s="9"/>
      <c r="K88" s="9"/>
      <c r="L88" s="9"/>
    </row>
    <row r="89" customFormat="false" ht="13" hidden="false" customHeight="false" outlineLevel="0" collapsed="false">
      <c r="G89" s="9"/>
      <c r="H89" s="9"/>
      <c r="I89" s="9"/>
      <c r="J89" s="9"/>
      <c r="K89" s="9"/>
      <c r="L89" s="9"/>
    </row>
    <row r="90" customFormat="false" ht="13" hidden="false" customHeight="false" outlineLevel="0" collapsed="false">
      <c r="B90" s="0" t="s">
        <v>51</v>
      </c>
      <c r="C90" s="0" t="n">
        <v>1968</v>
      </c>
      <c r="D90" s="0" t="n">
        <v>4.4</v>
      </c>
      <c r="E90" s="0" t="n">
        <v>4.5</v>
      </c>
      <c r="F90" s="0" t="n">
        <v>3.3</v>
      </c>
      <c r="G90" s="9" t="n">
        <v>3.4</v>
      </c>
      <c r="H90" s="9" t="n">
        <v>3.2</v>
      </c>
      <c r="I90" s="9" t="n">
        <v>5.1</v>
      </c>
      <c r="J90" s="9" t="n">
        <v>3.7</v>
      </c>
      <c r="K90" s="9"/>
      <c r="L90" s="9"/>
    </row>
    <row r="91" customFormat="false" ht="13" hidden="false" customHeight="false" outlineLevel="0" collapsed="false">
      <c r="D91" s="8" t="s">
        <v>66</v>
      </c>
      <c r="E91" s="8" t="s">
        <v>65</v>
      </c>
      <c r="F91" s="8" t="s">
        <v>64</v>
      </c>
      <c r="G91" s="10" t="s">
        <v>64</v>
      </c>
      <c r="H91" s="10" t="s">
        <v>64</v>
      </c>
      <c r="I91" s="10" t="s">
        <v>73</v>
      </c>
      <c r="J91" s="10" t="s">
        <v>64</v>
      </c>
      <c r="K91" s="9"/>
      <c r="L91" s="9"/>
    </row>
    <row r="92" customFormat="false" ht="13" hidden="false" customHeight="false" outlineLevel="0" collapsed="false">
      <c r="G92" s="9"/>
      <c r="H92" s="9"/>
      <c r="I92" s="9"/>
      <c r="J92" s="9"/>
      <c r="K92" s="9"/>
      <c r="L92" s="9"/>
    </row>
    <row r="93" customFormat="false" ht="13" hidden="false" customHeight="false" outlineLevel="0" collapsed="false">
      <c r="C93" s="0" t="n">
        <v>1988</v>
      </c>
      <c r="D93" s="0" t="n">
        <v>5.8</v>
      </c>
      <c r="E93" s="0" t="n">
        <v>6.4</v>
      </c>
      <c r="F93" s="0" t="n">
        <v>4</v>
      </c>
      <c r="G93" s="9" t="n">
        <v>4</v>
      </c>
      <c r="H93" s="9" t="n">
        <v>6.2</v>
      </c>
      <c r="I93" s="9" t="n">
        <v>4.6</v>
      </c>
      <c r="J93" s="9" t="n">
        <v>4.4</v>
      </c>
      <c r="K93" s="9"/>
      <c r="L93" s="9"/>
    </row>
    <row r="94" customFormat="false" ht="13" hidden="false" customHeight="false" outlineLevel="0" collapsed="false">
      <c r="D94" s="8" t="s">
        <v>63</v>
      </c>
      <c r="E94" s="8" t="s">
        <v>63</v>
      </c>
      <c r="F94" s="8" t="s">
        <v>66</v>
      </c>
      <c r="G94" s="10" t="s">
        <v>73</v>
      </c>
      <c r="H94" s="10" t="s">
        <v>66</v>
      </c>
      <c r="I94" s="10" t="s">
        <v>66</v>
      </c>
      <c r="J94" s="10" t="s">
        <v>64</v>
      </c>
      <c r="K94" s="9"/>
      <c r="L94" s="9"/>
    </row>
    <row r="95" customFormat="false" ht="13" hidden="false" customHeight="false" outlineLevel="0" collapsed="false">
      <c r="G95" s="9"/>
      <c r="H95" s="9"/>
      <c r="I95" s="9"/>
      <c r="J95" s="9"/>
      <c r="K95" s="9"/>
      <c r="L95" s="9"/>
    </row>
    <row r="96" customFormat="false" ht="13" hidden="false" customHeight="false" outlineLevel="0" collapsed="false">
      <c r="G96" s="9"/>
      <c r="H96" s="9"/>
      <c r="I96" s="9"/>
      <c r="J96" s="9"/>
      <c r="K96" s="9"/>
      <c r="L96" s="9"/>
    </row>
    <row r="97" customFormat="false" ht="13" hidden="false" customHeight="false" outlineLevel="0" collapsed="false">
      <c r="B97" s="0" t="s">
        <v>54</v>
      </c>
      <c r="C97" s="0" t="n">
        <v>1968</v>
      </c>
      <c r="E97" s="0" t="n">
        <v>12.5</v>
      </c>
      <c r="G97" s="9"/>
      <c r="H97" s="9"/>
      <c r="I97" s="9"/>
      <c r="J97" s="9"/>
      <c r="K97" s="9"/>
      <c r="L97" s="9"/>
    </row>
    <row r="98" customFormat="false" ht="13" hidden="false" customHeight="false" outlineLevel="0" collapsed="false">
      <c r="E98" s="8" t="s">
        <v>74</v>
      </c>
      <c r="G98" s="9"/>
      <c r="H98" s="9"/>
      <c r="I98" s="9"/>
      <c r="J98" s="9"/>
      <c r="K98" s="9"/>
      <c r="L98" s="9"/>
    </row>
    <row r="99" customFormat="false" ht="13" hidden="false" customHeight="false" outlineLevel="0" collapsed="false">
      <c r="G99" s="9"/>
      <c r="H99" s="9"/>
      <c r="I99" s="9"/>
      <c r="J99" s="9"/>
      <c r="K99" s="9"/>
      <c r="L99" s="9"/>
    </row>
    <row r="100" customFormat="false" ht="13" hidden="false" customHeight="false" outlineLevel="0" collapsed="false">
      <c r="C100" s="0" t="n">
        <v>1988</v>
      </c>
      <c r="D100" s="0" t="n">
        <v>12.2</v>
      </c>
      <c r="G100" s="9"/>
      <c r="H100" s="9"/>
      <c r="I100" s="9"/>
      <c r="J100" s="9"/>
      <c r="K100" s="9"/>
      <c r="L100" s="9"/>
    </row>
    <row r="101" customFormat="false" ht="13" hidden="false" customHeight="false" outlineLevel="0" collapsed="false">
      <c r="D101" s="8" t="s">
        <v>71</v>
      </c>
      <c r="G101" s="9"/>
      <c r="H101" s="9"/>
      <c r="I101" s="9"/>
      <c r="J101" s="9"/>
      <c r="K101" s="9"/>
      <c r="L101" s="9"/>
    </row>
    <row r="102" customFormat="false" ht="13" hidden="false" customHeight="false" outlineLevel="0" collapsed="false">
      <c r="G102" s="9"/>
      <c r="H102" s="9"/>
      <c r="I102" s="9"/>
      <c r="J102" s="9"/>
      <c r="K102" s="9"/>
      <c r="L102" s="9"/>
    </row>
    <row r="103" customFormat="false" ht="13" hidden="false" customHeight="false" outlineLevel="0" collapsed="false">
      <c r="G103" s="9"/>
      <c r="H103" s="9"/>
      <c r="I103" s="9"/>
      <c r="J103" s="9"/>
      <c r="K103" s="9"/>
      <c r="L103" s="9"/>
    </row>
    <row r="104" customFormat="false" ht="13" hidden="false" customHeight="false" outlineLevel="0" collapsed="false">
      <c r="B104" s="0" t="s">
        <v>57</v>
      </c>
      <c r="C104" s="0" t="n">
        <v>1968</v>
      </c>
      <c r="G104" s="9"/>
      <c r="H104" s="9"/>
      <c r="I104" s="9"/>
      <c r="J104" s="9"/>
      <c r="K104" s="9"/>
      <c r="L104" s="9"/>
    </row>
    <row r="105" customFormat="false" ht="13" hidden="false" customHeight="false" outlineLevel="0" collapsed="false">
      <c r="G105" s="9"/>
      <c r="H105" s="9"/>
      <c r="I105" s="9"/>
      <c r="J105" s="9"/>
      <c r="K105" s="9"/>
      <c r="L105" s="9"/>
    </row>
    <row r="106" customFormat="false" ht="13" hidden="false" customHeight="false" outlineLevel="0" collapsed="false">
      <c r="G106" s="9"/>
      <c r="H106" s="9"/>
      <c r="I106" s="9"/>
      <c r="J106" s="9"/>
      <c r="K106" s="9"/>
      <c r="L106" s="9"/>
    </row>
    <row r="107" customFormat="false" ht="13" hidden="false" customHeight="false" outlineLevel="0" collapsed="false">
      <c r="C107" s="0" t="n">
        <v>1988</v>
      </c>
      <c r="D107" s="0" t="n">
        <v>11</v>
      </c>
      <c r="E107" s="0" t="n">
        <v>10.8</v>
      </c>
      <c r="G107" s="9"/>
      <c r="H107" s="9"/>
      <c r="I107" s="9"/>
      <c r="J107" s="9"/>
      <c r="K107" s="9"/>
      <c r="L107" s="9"/>
    </row>
    <row r="108" customFormat="false" ht="13" hidden="false" customHeight="false" outlineLevel="0" collapsed="false">
      <c r="D108" s="8" t="s">
        <v>74</v>
      </c>
      <c r="E108" s="8" t="s">
        <v>75</v>
      </c>
      <c r="G108" s="9"/>
      <c r="H108" s="9"/>
      <c r="I108" s="9"/>
      <c r="J108" s="9"/>
      <c r="K108" s="9"/>
      <c r="L108" s="9"/>
    </row>
    <row r="109" customFormat="false" ht="13" hidden="false" customHeight="false" outlineLevel="0" collapsed="false">
      <c r="G109" s="9"/>
      <c r="H109" s="9"/>
      <c r="I109" s="9"/>
      <c r="J109" s="9"/>
      <c r="K109" s="9"/>
      <c r="L109" s="9"/>
    </row>
    <row r="111" customFormat="false" ht="13" hidden="false" customHeight="false" outlineLevel="0" collapsed="false">
      <c r="B111" s="0" t="s">
        <v>59</v>
      </c>
      <c r="C111" s="0" t="n">
        <v>1968</v>
      </c>
      <c r="D111" s="0" t="n">
        <v>1.1</v>
      </c>
    </row>
    <row r="112" customFormat="false" ht="13" hidden="false" customHeight="false" outlineLevel="0" collapsed="false">
      <c r="D112" s="8" t="s">
        <v>76</v>
      </c>
    </row>
    <row r="114" customFormat="false" ht="13" hidden="false" customHeight="false" outlineLevel="0" collapsed="false">
      <c r="C114" s="0" t="n">
        <v>1988</v>
      </c>
      <c r="D114" s="0" t="n">
        <v>1.1</v>
      </c>
      <c r="E114" s="0" t="n">
        <v>1.3</v>
      </c>
      <c r="F114" s="0" t="n">
        <v>1.3</v>
      </c>
      <c r="G114" s="0" t="n">
        <v>0.9</v>
      </c>
      <c r="H114" s="0" t="n">
        <v>1.4</v>
      </c>
      <c r="I114" s="0" t="n">
        <v>0.8</v>
      </c>
      <c r="J114" s="0" t="n">
        <v>1</v>
      </c>
    </row>
    <row r="115" customFormat="false" ht="13" hidden="false" customHeight="false" outlineLevel="0" collapsed="false">
      <c r="D115" s="8" t="s">
        <v>76</v>
      </c>
      <c r="E115" s="8" t="s">
        <v>76</v>
      </c>
      <c r="F115" s="8" t="s">
        <v>76</v>
      </c>
      <c r="G115" s="8" t="s">
        <v>76</v>
      </c>
      <c r="H115" s="8" t="s">
        <v>76</v>
      </c>
      <c r="I115" s="8" t="s">
        <v>76</v>
      </c>
      <c r="J115" s="8" t="s">
        <v>76</v>
      </c>
    </row>
    <row r="120" customFormat="false" ht="13" hidden="false" customHeight="false" outlineLevel="0" collapsed="false">
      <c r="A120" s="11" t="s">
        <v>77</v>
      </c>
      <c r="B120" s="11" t="s">
        <v>78</v>
      </c>
      <c r="E120" s="11"/>
    </row>
    <row r="121" customFormat="false" ht="13" hidden="false" customHeight="false" outlineLevel="0" collapsed="false">
      <c r="A121" s="11"/>
      <c r="B121" s="11" t="s">
        <v>79</v>
      </c>
      <c r="E121" s="11"/>
    </row>
    <row r="125" customFormat="false" ht="13" hidden="false" customHeight="false" outlineLevel="0" collapsed="false">
      <c r="B125" s="11"/>
      <c r="D125" s="11"/>
      <c r="E125" s="11" t="s">
        <v>80</v>
      </c>
      <c r="F125" s="11"/>
      <c r="G125" s="11"/>
      <c r="H125" s="11"/>
      <c r="I125" s="11"/>
    </row>
    <row r="126" customFormat="false" ht="13" hidden="false" customHeight="false" outlineLevel="0" collapsed="false">
      <c r="A126" s="11" t="s">
        <v>81</v>
      </c>
      <c r="B126" s="11" t="s">
        <v>82</v>
      </c>
      <c r="C126" s="11"/>
      <c r="D126" s="12" t="s">
        <v>2</v>
      </c>
      <c r="E126" s="12" t="s">
        <v>83</v>
      </c>
      <c r="F126" s="12" t="s">
        <v>84</v>
      </c>
      <c r="G126" s="12" t="s">
        <v>85</v>
      </c>
      <c r="H126" s="12" t="s">
        <v>83</v>
      </c>
      <c r="I126" s="12" t="s">
        <v>85</v>
      </c>
      <c r="J126" s="12" t="s">
        <v>86</v>
      </c>
    </row>
    <row r="127" customFormat="false" ht="13" hidden="false" customHeight="false" outlineLevel="0" collapsed="false">
      <c r="A127" s="11"/>
      <c r="B127" s="11"/>
      <c r="C127" s="11"/>
      <c r="D127" s="12" t="s">
        <v>87</v>
      </c>
      <c r="E127" s="12" t="s">
        <v>88</v>
      </c>
      <c r="F127" s="12" t="s">
        <v>89</v>
      </c>
      <c r="G127" s="12" t="s">
        <v>88</v>
      </c>
      <c r="H127" s="12" t="s">
        <v>89</v>
      </c>
      <c r="I127" s="12" t="s">
        <v>87</v>
      </c>
      <c r="J127" s="12" t="s">
        <v>89</v>
      </c>
    </row>
    <row r="128" customFormat="false" ht="13" hidden="false" customHeight="false" outlineLevel="0" collapsed="false">
      <c r="A128" s="11"/>
      <c r="B128" s="11"/>
      <c r="D128" s="11"/>
      <c r="E128" s="11"/>
      <c r="F128" s="11"/>
      <c r="G128" s="11"/>
      <c r="H128" s="11"/>
      <c r="I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/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</row>
    <row r="129" customFormat="false" ht="13" hidden="false" customHeight="false" outlineLevel="0" collapsed="false">
      <c r="A129" s="11" t="s">
        <v>90</v>
      </c>
      <c r="B129" s="11" t="n">
        <v>1968</v>
      </c>
      <c r="C129" s="13" t="s">
        <v>91</v>
      </c>
      <c r="D129" s="9" t="n">
        <v>28.3</v>
      </c>
      <c r="E129" s="9" t="n">
        <v>32.5</v>
      </c>
      <c r="F129" s="9" t="n">
        <v>19.2</v>
      </c>
      <c r="G129" s="9" t="n">
        <v>17.8</v>
      </c>
      <c r="H129" s="9" t="n">
        <v>27.3</v>
      </c>
      <c r="I129" s="9" t="n">
        <v>24.4</v>
      </c>
      <c r="J129" s="9" t="n">
        <v>17.9</v>
      </c>
      <c r="K129" s="9"/>
    </row>
    <row r="130" customFormat="false" ht="13" hidden="false" customHeight="false" outlineLevel="0" collapsed="false">
      <c r="A130" s="11"/>
      <c r="B130" s="11"/>
      <c r="C130" s="13" t="s">
        <v>92</v>
      </c>
      <c r="D130" s="0" t="n">
        <v>11633</v>
      </c>
      <c r="E130" s="0" t="n">
        <v>9124</v>
      </c>
      <c r="F130" s="0" t="n">
        <v>3823</v>
      </c>
      <c r="G130" s="0" t="n">
        <v>3656</v>
      </c>
      <c r="H130" s="0" t="n">
        <v>996</v>
      </c>
      <c r="I130" s="0" t="n">
        <v>341</v>
      </c>
      <c r="J130" s="11" t="n">
        <v>738</v>
      </c>
    </row>
    <row r="131" customFormat="false" ht="13" hidden="false" customHeight="false" outlineLevel="0" collapsed="false">
      <c r="A131" s="11"/>
      <c r="B131" s="11"/>
      <c r="C131" s="11"/>
      <c r="D131" s="9"/>
      <c r="E131" s="9"/>
      <c r="F131" s="9"/>
      <c r="G131" s="9"/>
      <c r="H131" s="9"/>
      <c r="I131" s="9"/>
      <c r="J131" s="9"/>
      <c r="K131" s="9"/>
    </row>
    <row r="132" customFormat="false" ht="13" hidden="false" customHeight="false" outlineLevel="0" collapsed="false">
      <c r="A132" s="11"/>
      <c r="B132" s="11" t="n">
        <v>1988</v>
      </c>
      <c r="C132" s="13" t="s">
        <v>91</v>
      </c>
      <c r="D132" s="9" t="n">
        <v>28.9</v>
      </c>
      <c r="E132" s="9" t="n">
        <v>32.5</v>
      </c>
      <c r="F132" s="9" t="n">
        <v>18.6</v>
      </c>
      <c r="G132" s="9" t="n">
        <v>19.9</v>
      </c>
      <c r="H132" s="9" t="n">
        <v>26.6</v>
      </c>
      <c r="I132" s="9" t="n">
        <v>25.8</v>
      </c>
      <c r="J132" s="9" t="n">
        <v>17.8</v>
      </c>
      <c r="K132" s="9"/>
    </row>
    <row r="133" customFormat="false" ht="13" hidden="false" customHeight="false" outlineLevel="0" collapsed="false">
      <c r="A133" s="11"/>
      <c r="B133" s="11"/>
      <c r="C133" s="13" t="s">
        <v>92</v>
      </c>
      <c r="D133" s="0" t="n">
        <v>3260</v>
      </c>
      <c r="E133" s="0" t="n">
        <v>2181</v>
      </c>
      <c r="F133" s="0" t="n">
        <v>1378</v>
      </c>
      <c r="G133" s="0" t="n">
        <v>1456</v>
      </c>
      <c r="H133" s="0" t="n">
        <v>847</v>
      </c>
      <c r="I133" s="0" t="n">
        <v>734</v>
      </c>
      <c r="J133" s="11" t="n">
        <v>726</v>
      </c>
    </row>
    <row r="134" customFormat="false" ht="13" hidden="false" customHeight="false" outlineLevel="0" collapsed="false">
      <c r="A134" s="11"/>
      <c r="C134" s="11"/>
      <c r="J134" s="11"/>
    </row>
    <row r="135" customFormat="false" ht="13" hidden="false" customHeight="false" outlineLevel="0" collapsed="false">
      <c r="A135" s="11" t="s">
        <v>93</v>
      </c>
      <c r="B135" s="11" t="n">
        <v>1968</v>
      </c>
      <c r="C135" s="13" t="s">
        <v>91</v>
      </c>
      <c r="D135" s="9" t="n">
        <v>32.3</v>
      </c>
      <c r="E135" s="9" t="n">
        <v>36.4</v>
      </c>
      <c r="F135" s="9" t="n">
        <v>17.2</v>
      </c>
      <c r="G135" s="9" t="n">
        <v>17.9</v>
      </c>
      <c r="H135" s="9" t="n">
        <v>27.8</v>
      </c>
      <c r="I135" s="9" t="n">
        <v>25.8</v>
      </c>
      <c r="J135" s="9" t="n">
        <v>17.1</v>
      </c>
      <c r="K135" s="9"/>
    </row>
    <row r="136" customFormat="false" ht="13" hidden="false" customHeight="false" outlineLevel="0" collapsed="false">
      <c r="A136" s="11"/>
      <c r="B136" s="11"/>
      <c r="C136" s="13" t="s">
        <v>92</v>
      </c>
      <c r="D136" s="0" t="n">
        <v>4962</v>
      </c>
      <c r="E136" s="0" t="n">
        <v>3792</v>
      </c>
      <c r="F136" s="0" t="n">
        <v>7068</v>
      </c>
      <c r="G136" s="0" t="n">
        <v>4191</v>
      </c>
      <c r="H136" s="0" t="n">
        <v>399</v>
      </c>
      <c r="I136" s="0" t="n">
        <v>178</v>
      </c>
      <c r="J136" s="11" t="n">
        <v>1337</v>
      </c>
    </row>
    <row r="137" customFormat="false" ht="13" hidden="false" customHeight="false" outlineLevel="0" collapsed="false">
      <c r="A137" s="11"/>
      <c r="B137" s="11"/>
      <c r="C137" s="11"/>
      <c r="J137" s="11"/>
    </row>
    <row r="138" customFormat="false" ht="13" hidden="false" customHeight="false" outlineLevel="0" collapsed="false">
      <c r="A138" s="11"/>
      <c r="B138" s="11" t="n">
        <v>1988</v>
      </c>
      <c r="C138" s="13" t="s">
        <v>91</v>
      </c>
      <c r="D138" s="9" t="n">
        <v>31.2</v>
      </c>
      <c r="E138" s="9" t="n">
        <v>32.3</v>
      </c>
      <c r="F138" s="9" t="n">
        <v>18.1</v>
      </c>
      <c r="G138" s="9" t="n">
        <v>18.7</v>
      </c>
      <c r="H138" s="9" t="n">
        <v>26.4</v>
      </c>
      <c r="I138" s="9" t="n">
        <v>32.9</v>
      </c>
      <c r="J138" s="9" t="n">
        <v>17</v>
      </c>
      <c r="K138" s="9"/>
    </row>
    <row r="139" customFormat="false" ht="13" hidden="false" customHeight="false" outlineLevel="0" collapsed="false">
      <c r="A139" s="11"/>
      <c r="B139" s="11"/>
      <c r="C139" s="13" t="s">
        <v>92</v>
      </c>
      <c r="D139" s="0" t="n">
        <v>311</v>
      </c>
      <c r="E139" s="0" t="n">
        <v>196</v>
      </c>
      <c r="F139" s="0" t="n">
        <v>1025</v>
      </c>
      <c r="G139" s="0" t="n">
        <v>651</v>
      </c>
      <c r="H139" s="0" t="n">
        <v>180</v>
      </c>
      <c r="I139" s="0" t="n">
        <v>148</v>
      </c>
      <c r="J139" s="11" t="n">
        <v>530</v>
      </c>
    </row>
    <row r="140" customFormat="false" ht="13" hidden="false" customHeight="false" outlineLevel="0" collapsed="false">
      <c r="A140" s="11"/>
      <c r="B140" s="11"/>
      <c r="C140" s="11"/>
      <c r="J140" s="11"/>
    </row>
    <row r="141" customFormat="false" ht="13" hidden="false" customHeight="false" outlineLevel="0" collapsed="false">
      <c r="A141" s="11" t="s">
        <v>94</v>
      </c>
      <c r="B141" s="11" t="n">
        <v>1968</v>
      </c>
      <c r="C141" s="13" t="s">
        <v>91</v>
      </c>
      <c r="D141" s="9" t="n">
        <v>40.7</v>
      </c>
      <c r="E141" s="9" t="n">
        <v>47.3</v>
      </c>
      <c r="F141" s="9" t="n">
        <v>17.3</v>
      </c>
      <c r="G141" s="9" t="n">
        <v>18.5</v>
      </c>
      <c r="H141" s="9" t="n">
        <v>32.3</v>
      </c>
      <c r="I141" s="9" t="n">
        <v>35</v>
      </c>
      <c r="J141" s="9" t="n">
        <v>15.1</v>
      </c>
      <c r="K141" s="9"/>
    </row>
    <row r="142" customFormat="false" ht="13" hidden="false" customHeight="false" outlineLevel="0" collapsed="false">
      <c r="A142" s="11"/>
      <c r="B142" s="11"/>
      <c r="C142" s="13" t="s">
        <v>92</v>
      </c>
      <c r="D142" s="0" t="n">
        <v>403</v>
      </c>
      <c r="E142" s="0" t="n">
        <v>324</v>
      </c>
      <c r="F142" s="0" t="n">
        <v>1194</v>
      </c>
      <c r="G142" s="0" t="n">
        <v>745</v>
      </c>
      <c r="H142" s="0" t="n">
        <v>33</v>
      </c>
      <c r="I142" s="0" t="n">
        <v>27</v>
      </c>
      <c r="J142" s="11" t="n">
        <v>256</v>
      </c>
    </row>
    <row r="143" customFormat="false" ht="13" hidden="false" customHeight="false" outlineLevel="0" collapsed="false">
      <c r="A143" s="11"/>
      <c r="B143" s="11"/>
      <c r="C143" s="11"/>
      <c r="D143" s="11" t="s">
        <v>24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</row>
    <row r="144" customFormat="false" ht="13" hidden="false" customHeight="false" outlineLevel="0" collapsed="false">
      <c r="A144" s="11"/>
      <c r="B144" s="11" t="n">
        <v>1988</v>
      </c>
      <c r="C144" s="13" t="s">
        <v>91</v>
      </c>
      <c r="D144" s="9" t="n">
        <v>37.8</v>
      </c>
      <c r="E144" s="9" t="n">
        <v>44.1</v>
      </c>
      <c r="F144" s="9" t="n">
        <v>16.7</v>
      </c>
      <c r="G144" s="9" t="n">
        <v>15.1</v>
      </c>
      <c r="H144" s="9" t="n">
        <v>30.1</v>
      </c>
      <c r="I144" s="9" t="n">
        <v>33.5</v>
      </c>
      <c r="J144" s="9" t="n">
        <v>18.2</v>
      </c>
      <c r="K144" s="9"/>
    </row>
    <row r="145" customFormat="false" ht="13" hidden="false" customHeight="false" outlineLevel="0" collapsed="false">
      <c r="A145" s="11"/>
      <c r="B145" s="11"/>
      <c r="C145" s="13" t="s">
        <v>92</v>
      </c>
      <c r="D145" s="0" t="n">
        <v>105</v>
      </c>
      <c r="E145" s="0" t="n">
        <v>70</v>
      </c>
      <c r="F145" s="0" t="n">
        <v>601</v>
      </c>
      <c r="G145" s="0" t="n">
        <v>298</v>
      </c>
      <c r="H145" s="0" t="n">
        <v>57</v>
      </c>
      <c r="I145" s="0" t="n">
        <v>50</v>
      </c>
      <c r="J145" s="11" t="n">
        <v>233</v>
      </c>
    </row>
    <row r="146" customFormat="false" ht="13" hidden="false" customHeight="false" outlineLevel="0" collapsed="false">
      <c r="A146" s="11"/>
      <c r="B146" s="11"/>
      <c r="C146" s="11"/>
      <c r="J146" s="11"/>
    </row>
    <row r="147" customFormat="false" ht="13" hidden="false" customHeight="false" outlineLevel="0" collapsed="false">
      <c r="A147" s="11" t="s">
        <v>95</v>
      </c>
      <c r="B147" s="11" t="n">
        <v>1968</v>
      </c>
      <c r="C147" s="13" t="s">
        <v>91</v>
      </c>
      <c r="D147" s="9" t="n">
        <v>44.3</v>
      </c>
      <c r="E147" s="9" t="n">
        <v>51.4</v>
      </c>
      <c r="F147" s="9" t="n">
        <v>39.6</v>
      </c>
      <c r="G147" s="9" t="n">
        <v>42.8</v>
      </c>
      <c r="H147" s="9" t="n">
        <v>38.5</v>
      </c>
      <c r="I147" s="9" t="n">
        <v>36.8</v>
      </c>
      <c r="J147" s="9" t="n">
        <v>33.5</v>
      </c>
      <c r="K147" s="9"/>
    </row>
    <row r="148" customFormat="false" ht="13" hidden="false" customHeight="false" outlineLevel="0" collapsed="false">
      <c r="A148" s="11"/>
      <c r="B148" s="11"/>
      <c r="C148" s="13" t="s">
        <v>92</v>
      </c>
      <c r="D148" s="0" t="n">
        <v>3176</v>
      </c>
      <c r="E148" s="0" t="n">
        <v>2693</v>
      </c>
      <c r="F148" s="0" t="n">
        <v>875</v>
      </c>
      <c r="G148" s="0" t="n">
        <v>391</v>
      </c>
      <c r="H148" s="0" t="n">
        <v>172</v>
      </c>
      <c r="I148" s="0" t="n">
        <v>44</v>
      </c>
      <c r="J148" s="11" t="n">
        <v>72</v>
      </c>
    </row>
    <row r="149" customFormat="false" ht="13" hidden="false" customHeight="false" outlineLevel="0" collapsed="false">
      <c r="A149" s="11"/>
      <c r="B149" s="11"/>
      <c r="C149" s="11"/>
      <c r="J149" s="11"/>
    </row>
    <row r="150" customFormat="false" ht="13" hidden="false" customHeight="false" outlineLevel="0" collapsed="false">
      <c r="A150" s="11"/>
      <c r="B150" s="11" t="n">
        <v>1988</v>
      </c>
      <c r="C150" s="13" t="s">
        <v>91</v>
      </c>
      <c r="D150" s="9" t="n">
        <v>42.8</v>
      </c>
      <c r="E150" s="9" t="n">
        <v>46</v>
      </c>
      <c r="F150" s="9" t="n">
        <v>36</v>
      </c>
      <c r="G150" s="9" t="n">
        <v>36.3</v>
      </c>
      <c r="H150" s="9" t="n">
        <v>37.6</v>
      </c>
      <c r="I150" s="9" t="n">
        <v>27.2</v>
      </c>
      <c r="J150" s="9" t="n">
        <v>34.6</v>
      </c>
      <c r="K150" s="9"/>
    </row>
    <row r="151" customFormat="false" ht="13" hidden="false" customHeight="false" outlineLevel="0" collapsed="false">
      <c r="A151" s="11"/>
      <c r="B151" s="11"/>
      <c r="C151" s="13" t="s">
        <v>92</v>
      </c>
      <c r="D151" s="0" t="n">
        <v>991</v>
      </c>
      <c r="E151" s="0" t="n">
        <v>800</v>
      </c>
      <c r="F151" s="0" t="n">
        <v>174</v>
      </c>
      <c r="G151" s="0" t="n">
        <v>182</v>
      </c>
      <c r="H151" s="0" t="n">
        <v>159</v>
      </c>
      <c r="I151" s="0" t="n">
        <v>132</v>
      </c>
      <c r="J151" s="11" t="n">
        <v>87</v>
      </c>
    </row>
    <row r="152" customFormat="false" ht="13" hidden="false" customHeight="false" outlineLevel="0" collapsed="false">
      <c r="A152" s="11"/>
      <c r="B152" s="11"/>
      <c r="C152" s="11"/>
      <c r="J152" s="11"/>
    </row>
    <row r="153" customFormat="false" ht="13" hidden="false" customHeight="false" outlineLevel="0" collapsed="false">
      <c r="B153" s="11"/>
      <c r="D153" s="11"/>
      <c r="E153" s="11"/>
      <c r="F153" s="11"/>
      <c r="G153" s="11"/>
      <c r="H153" s="11"/>
      <c r="I153" s="11"/>
      <c r="K153" s="9"/>
    </row>
    <row r="154" customFormat="false" ht="13" hidden="false" customHeight="false" outlineLevel="0" collapsed="false">
      <c r="A154" s="11" t="s">
        <v>96</v>
      </c>
      <c r="B154" s="11" t="n">
        <v>1968</v>
      </c>
      <c r="C154" s="13" t="s">
        <v>91</v>
      </c>
      <c r="D154" s="9" t="n">
        <f aca="false">((D129*$D$130)+(D135*$D$136)+(D141*$D$142)+(D147*$D$148))/($D$155)</f>
        <v>32.0504312481412</v>
      </c>
      <c r="E154" s="9" t="n">
        <f aca="false">((E129*$E$130)+(E135*$E$136)+(E141*$E$142)+(E147*$E$148))/($E$155)</f>
        <v>36.9236302014687</v>
      </c>
      <c r="F154" s="9" t="n">
        <f aca="false">((F129*$F$130)+(F135*$F$136)+(F141*$F$142)+(F147*$F$148))/($F$155)</f>
        <v>19.3115277777778</v>
      </c>
      <c r="G154" s="9" t="n">
        <f aca="false">((G129*$G$130)+(G135*$G$136)+(G141*$G$142)+(G147*$G$148))/($G$155)</f>
        <v>18.9928754313704</v>
      </c>
      <c r="H154" s="9" t="n">
        <f aca="false">((H129*$H$130)+(H135*$H$136)+(H141*$H$142)+(H147*$H$148))/($H$155)</f>
        <v>28.7318125</v>
      </c>
      <c r="I154" s="9" t="n">
        <f aca="false">((I129*$I$130)+(I135*$I$136)+(I141*$I$142)+(I147*$I$148))/($I$155)</f>
        <v>26.2322033898305</v>
      </c>
      <c r="J154" s="9" t="n">
        <f aca="false">((J129*$J$130)+(J135*$J$136)+(J141*$J$142)+(J147*$J$148))/($J$155)</f>
        <v>17.6240116521015</v>
      </c>
      <c r="K154" s="9"/>
    </row>
    <row r="155" customFormat="false" ht="13" hidden="false" customHeight="false" outlineLevel="0" collapsed="false">
      <c r="A155" s="11" t="s">
        <v>97</v>
      </c>
      <c r="B155" s="11"/>
      <c r="C155" s="13" t="s">
        <v>92</v>
      </c>
      <c r="D155" s="0" t="n">
        <f aca="false">(D130+D136+D142+D148)</f>
        <v>20174</v>
      </c>
      <c r="E155" s="0" t="n">
        <f aca="false">(E130+E136+E142+E148)</f>
        <v>15933</v>
      </c>
      <c r="F155" s="0" t="n">
        <f aca="false">(F130+F136+F142+F148)</f>
        <v>12960</v>
      </c>
      <c r="G155" s="0" t="n">
        <f aca="false">(G130+G136+G142+G148)</f>
        <v>8983</v>
      </c>
      <c r="H155" s="0" t="n">
        <f aca="false">(H130+H136+H142+H148)</f>
        <v>1600</v>
      </c>
      <c r="I155" s="0" t="n">
        <f aca="false">(I130+I136+I142+I148)</f>
        <v>590</v>
      </c>
      <c r="J155" s="11" t="n">
        <f aca="false">(J130+J136+J142+J148)</f>
        <v>2403</v>
      </c>
    </row>
    <row r="156" customFormat="false" ht="13" hidden="false" customHeight="false" outlineLevel="0" collapsed="false">
      <c r="A156" s="11"/>
      <c r="B156" s="11"/>
      <c r="C156" s="11"/>
      <c r="J156" s="11"/>
    </row>
    <row r="157" customFormat="false" ht="13" hidden="false" customHeight="false" outlineLevel="0" collapsed="false">
      <c r="A157" s="11"/>
      <c r="B157" s="11" t="n">
        <v>1988</v>
      </c>
      <c r="C157" s="13" t="s">
        <v>91</v>
      </c>
      <c r="D157" s="9" t="n">
        <f aca="false">((D132*$D$133)+(D138*$D$139)+(D144*$D$145)+(D150*$D$151))/($D$158)</f>
        <v>32.2050567816585</v>
      </c>
      <c r="E157" s="9" t="n">
        <f aca="false">((E132*$E$133)+(E138*$E$139)+(E144*$E$145)+(E150*$E$151))/($E$158)</f>
        <v>36.0641515244841</v>
      </c>
      <c r="F157" s="9" t="n">
        <f aca="false">((F132*$F$133)+(F138*$F$139)+(F144*$F$145)+(F150*$F$151))/($F$158)</f>
        <v>19.0320956576463</v>
      </c>
      <c r="G157" s="9" t="n">
        <f aca="false">((G132*$G$133)+(G138*$G$139)+(G144*$G$145)+(G150*$G$151))/($G$158)</f>
        <v>20.1988790104368</v>
      </c>
      <c r="H157" s="9" t="n">
        <f aca="false">((H132*$H$133)+(H138*$H$139)+(H144*$H$145)+(H150*$H$151))/($H$158)</f>
        <v>28.1386162510056</v>
      </c>
      <c r="I157" s="9" t="n">
        <f aca="false">((I132*$I$133)+(I138*$I$139)+(I144*$I$145)+(I150*$I$151))/($I$158)</f>
        <v>27.3231203007519</v>
      </c>
      <c r="J157" s="9" t="n">
        <f aca="false">((J132*$J$133)+(J138*$J$139)+(J144*$J$145)+(J150*$J$151))/($J$158)</f>
        <v>18.5175126903553</v>
      </c>
      <c r="K157" s="9"/>
    </row>
    <row r="158" customFormat="false" ht="13" hidden="false" customHeight="false" outlineLevel="0" collapsed="false">
      <c r="A158" s="11"/>
      <c r="B158" s="11"/>
      <c r="C158" s="13" t="s">
        <v>92</v>
      </c>
      <c r="D158" s="0" t="n">
        <f aca="false">(D133+D139+D145+D151)</f>
        <v>4667</v>
      </c>
      <c r="E158" s="0" t="n">
        <f aca="false">(E133+E139+E145+E151)</f>
        <v>3247</v>
      </c>
      <c r="F158" s="0" t="n">
        <f aca="false">(F133+F139+F145+F151)</f>
        <v>3178</v>
      </c>
      <c r="G158" s="0" t="n">
        <f aca="false">(G133+G139+G145+G151)</f>
        <v>2587</v>
      </c>
      <c r="H158" s="0" t="n">
        <f aca="false">(H133+H139+H145+H151)</f>
        <v>1243</v>
      </c>
      <c r="I158" s="0" t="n">
        <f aca="false">(I133+I139+I145+I151)</f>
        <v>1064</v>
      </c>
      <c r="J158" s="11" t="n">
        <f aca="false">(J133+J139+J145+J151)</f>
        <v>1576</v>
      </c>
      <c r="K158" s="9"/>
    </row>
    <row r="159" customFormat="false" ht="13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 customFormat="false" ht="13" hidden="false" customHeight="false" outlineLevel="0" collapsed="false">
      <c r="A160" s="11"/>
      <c r="D160" s="9"/>
      <c r="E160" s="9"/>
      <c r="F160" s="9"/>
      <c r="G160" s="9"/>
      <c r="H160" s="9"/>
      <c r="I160" s="9"/>
      <c r="J160" s="9"/>
      <c r="K160" s="9"/>
    </row>
    <row r="161" customFormat="false" ht="13" hidden="false" customHeight="false" outlineLevel="0" collapsed="false">
      <c r="A161" s="11" t="s">
        <v>98</v>
      </c>
      <c r="D161" s="9"/>
      <c r="E161" s="9"/>
      <c r="F161" s="9"/>
      <c r="G161" s="9"/>
      <c r="H161" s="9"/>
      <c r="I161" s="9"/>
      <c r="J161" s="9"/>
      <c r="K161" s="9"/>
    </row>
    <row r="162" customFormat="false" ht="13" hidden="false" customHeight="false" outlineLevel="0" collapsed="false">
      <c r="A162" s="11" t="s">
        <v>99</v>
      </c>
      <c r="D162" s="9"/>
      <c r="E162" s="9"/>
      <c r="F162" s="9"/>
      <c r="G162" s="9"/>
      <c r="H162" s="9"/>
      <c r="I162" s="9"/>
      <c r="J162" s="9"/>
      <c r="K162" s="9"/>
    </row>
    <row r="163" customFormat="false" ht="13" hidden="false" customHeight="false" outlineLevel="0" collapsed="false">
      <c r="A163" s="11" t="s">
        <v>100</v>
      </c>
      <c r="B163" s="11"/>
      <c r="C163" s="11"/>
      <c r="D163" s="9"/>
      <c r="E163" s="9"/>
      <c r="F163" s="9"/>
      <c r="G163" s="9"/>
      <c r="H163" s="9"/>
      <c r="I163" s="9"/>
      <c r="J163" s="9"/>
      <c r="K163" s="9"/>
    </row>
    <row r="164" customFormat="false" ht="13" hidden="false" customHeight="false" outlineLevel="0" collapsed="false">
      <c r="D164" s="9"/>
      <c r="E164" s="9"/>
      <c r="F164" s="9"/>
      <c r="G164" s="9"/>
      <c r="H164" s="9"/>
      <c r="I164" s="9"/>
      <c r="J164" s="9"/>
      <c r="K164" s="9"/>
    </row>
    <row r="165" customFormat="false" ht="13" hidden="false" customHeight="false" outlineLevel="0" collapsed="false">
      <c r="D165" s="9"/>
      <c r="E165" s="9"/>
      <c r="F165" s="9"/>
      <c r="G165" s="9"/>
      <c r="H165" s="9"/>
      <c r="I165" s="9"/>
      <c r="J165" s="9"/>
      <c r="K165" s="9"/>
    </row>
    <row r="166" customFormat="false" ht="13" hidden="false" customHeight="false" outlineLevel="0" collapsed="false">
      <c r="D166" s="9"/>
      <c r="E166" s="9"/>
      <c r="F166" s="9"/>
      <c r="G166" s="9"/>
      <c r="H166" s="9"/>
      <c r="I166" s="9"/>
      <c r="J166" s="9"/>
      <c r="K166" s="9"/>
    </row>
    <row r="167" customFormat="false" ht="13" hidden="false" customHeight="false" outlineLevel="0" collapsed="false">
      <c r="D167" s="9"/>
      <c r="E167" s="9"/>
      <c r="F167" s="9"/>
      <c r="G167" s="9"/>
      <c r="H167" s="9"/>
      <c r="I167" s="9"/>
      <c r="J167" s="9"/>
      <c r="K167" s="9"/>
    </row>
    <row r="168" customFormat="false" ht="13" hidden="false" customHeight="false" outlineLevel="0" collapsed="false">
      <c r="C168" s="11" t="s">
        <v>101</v>
      </c>
      <c r="D168" s="9" t="s">
        <v>102</v>
      </c>
      <c r="E168" s="9"/>
      <c r="F168" s="9"/>
      <c r="G168" s="9"/>
      <c r="H168" s="9"/>
      <c r="I168" s="9"/>
      <c r="J168" s="9"/>
      <c r="K168" s="9"/>
    </row>
    <row r="169" customFormat="false" ht="13" hidden="false" customHeight="false" outlineLevel="0" collapsed="false">
      <c r="C169" s="11"/>
      <c r="D169" s="9" t="s">
        <v>103</v>
      </c>
      <c r="E169" s="9"/>
      <c r="F169" s="9"/>
      <c r="G169" s="9"/>
      <c r="H169" s="9"/>
      <c r="I169" s="9"/>
      <c r="J169" s="9"/>
      <c r="K169" s="9"/>
    </row>
    <row r="170" customFormat="false" ht="13" hidden="false" customHeight="false" outlineLevel="0" collapsed="false">
      <c r="C170" s="11"/>
      <c r="D170" s="9" t="s">
        <v>104</v>
      </c>
      <c r="E170" s="9"/>
      <c r="F170" s="9"/>
      <c r="G170" s="9"/>
      <c r="H170" s="9"/>
      <c r="I170" s="9"/>
      <c r="J170" s="9"/>
      <c r="K170" s="9"/>
    </row>
    <row r="171" customFormat="false" ht="13" hidden="false" customHeight="false" outlineLevel="0" collapsed="false">
      <c r="D171" s="9"/>
      <c r="E171" s="9"/>
      <c r="F171" s="9"/>
      <c r="G171" s="9"/>
      <c r="H171" s="9"/>
      <c r="I171" s="9"/>
      <c r="J171" s="9"/>
      <c r="K171" s="9"/>
    </row>
    <row r="172" customFormat="false" ht="13" hidden="false" customHeight="false" outlineLevel="0" collapsed="false">
      <c r="B172" s="11"/>
      <c r="D172" s="9"/>
      <c r="E172" s="9" t="s">
        <v>80</v>
      </c>
      <c r="F172" s="9"/>
      <c r="G172" s="9"/>
      <c r="H172" s="9"/>
      <c r="I172" s="9"/>
      <c r="J172" s="9"/>
      <c r="K172" s="9"/>
    </row>
    <row r="173" customFormat="false" ht="13" hidden="false" customHeight="false" outlineLevel="0" collapsed="false">
      <c r="A173" s="11"/>
      <c r="B173" s="0" t="s">
        <v>81</v>
      </c>
      <c r="C173" s="11" t="s">
        <v>82</v>
      </c>
      <c r="D173" s="10" t="s">
        <v>105</v>
      </c>
      <c r="E173" s="10" t="s">
        <v>83</v>
      </c>
      <c r="F173" s="10" t="s">
        <v>105</v>
      </c>
      <c r="G173" s="10" t="s">
        <v>86</v>
      </c>
      <c r="H173" s="10" t="s">
        <v>83</v>
      </c>
      <c r="I173" s="10" t="s">
        <v>86</v>
      </c>
      <c r="J173" s="10" t="s">
        <v>86</v>
      </c>
      <c r="K173" s="9"/>
    </row>
    <row r="174" customFormat="false" ht="13" hidden="false" customHeight="false" outlineLevel="0" collapsed="false">
      <c r="A174" s="11"/>
      <c r="B174" s="11"/>
      <c r="C174" s="11"/>
      <c r="D174" s="10" t="s">
        <v>87</v>
      </c>
      <c r="E174" s="10" t="s">
        <v>88</v>
      </c>
      <c r="F174" s="10" t="s">
        <v>89</v>
      </c>
      <c r="G174" s="10" t="s">
        <v>88</v>
      </c>
      <c r="H174" s="10" t="s">
        <v>89</v>
      </c>
      <c r="I174" s="10" t="s">
        <v>87</v>
      </c>
      <c r="J174" s="10" t="s">
        <v>89</v>
      </c>
      <c r="K174" s="9"/>
    </row>
    <row r="175" customFormat="false" ht="13" hidden="false" customHeight="false" outlineLevel="0" collapsed="false">
      <c r="A175" s="11"/>
      <c r="C175" s="11"/>
      <c r="D175" s="9"/>
      <c r="E175" s="9"/>
      <c r="F175" s="9"/>
      <c r="G175" s="9"/>
      <c r="H175" s="9"/>
      <c r="I175" s="9"/>
      <c r="J175" s="9"/>
      <c r="K175" s="9"/>
    </row>
    <row r="176" customFormat="false" ht="13" hidden="false" customHeight="false" outlineLevel="0" collapsed="false">
      <c r="A176" s="11"/>
      <c r="B176" s="0" t="s">
        <v>90</v>
      </c>
      <c r="C176" s="11" t="n">
        <v>1968</v>
      </c>
      <c r="D176" s="9" t="n">
        <v>6.9</v>
      </c>
      <c r="E176" s="9" t="n">
        <v>6.9</v>
      </c>
      <c r="F176" s="9" t="n">
        <v>4.5</v>
      </c>
      <c r="G176" s="9" t="n">
        <v>4</v>
      </c>
      <c r="H176" s="9" t="n">
        <v>5.5</v>
      </c>
      <c r="I176" s="9" t="n">
        <v>5</v>
      </c>
      <c r="J176" s="9" t="n">
        <v>3.8</v>
      </c>
      <c r="K176" s="9"/>
    </row>
    <row r="177" customFormat="false" ht="13" hidden="false" customHeight="false" outlineLevel="0" collapsed="false">
      <c r="A177" s="11"/>
      <c r="C177" s="11"/>
      <c r="D177" s="9"/>
      <c r="E177" s="9"/>
      <c r="F177" s="9"/>
      <c r="G177" s="9"/>
      <c r="H177" s="9"/>
      <c r="I177" s="9"/>
      <c r="J177" s="9"/>
      <c r="K177" s="9"/>
    </row>
    <row r="178" customFormat="false" ht="13" hidden="false" customHeight="false" outlineLevel="0" collapsed="false">
      <c r="A178" s="11"/>
      <c r="C178" s="11" t="n">
        <v>1988</v>
      </c>
      <c r="D178" s="9" t="n">
        <v>7.8</v>
      </c>
      <c r="E178" s="9" t="n">
        <v>8.3</v>
      </c>
      <c r="F178" s="9" t="n">
        <v>4.2</v>
      </c>
      <c r="G178" s="9" t="n">
        <v>4.5</v>
      </c>
      <c r="H178" s="9" t="n">
        <v>6.4</v>
      </c>
      <c r="I178" s="9" t="n">
        <v>6.3</v>
      </c>
      <c r="J178" s="9" t="n">
        <v>5</v>
      </c>
      <c r="K178" s="9"/>
    </row>
    <row r="179" customFormat="false" ht="13" hidden="false" customHeight="false" outlineLevel="0" collapsed="false">
      <c r="A179" s="11"/>
      <c r="C179" s="11"/>
      <c r="D179" s="9"/>
      <c r="E179" s="9"/>
      <c r="F179" s="9"/>
      <c r="G179" s="9"/>
      <c r="H179" s="9"/>
      <c r="I179" s="9"/>
      <c r="J179" s="9"/>
      <c r="K179" s="9"/>
    </row>
    <row r="180" customFormat="false" ht="13" hidden="false" customHeight="false" outlineLevel="0" collapsed="false">
      <c r="A180" s="11"/>
      <c r="B180" s="0" t="s">
        <v>93</v>
      </c>
      <c r="C180" s="11" t="n">
        <v>1968</v>
      </c>
      <c r="D180" s="9" t="n">
        <v>6.8</v>
      </c>
      <c r="E180" s="9" t="n">
        <v>6.9</v>
      </c>
      <c r="F180" s="9" t="n">
        <v>3.9</v>
      </c>
      <c r="G180" s="9" t="n">
        <v>3.9</v>
      </c>
      <c r="H180" s="9" t="n">
        <v>5.3</v>
      </c>
      <c r="I180" s="9" t="n">
        <v>6</v>
      </c>
      <c r="J180" s="9" t="n">
        <v>3.5</v>
      </c>
      <c r="K180" s="9"/>
    </row>
    <row r="181" customFormat="false" ht="13" hidden="false" customHeight="false" outlineLevel="0" collapsed="false">
      <c r="A181" s="11"/>
      <c r="C181" s="11"/>
      <c r="D181" s="9"/>
      <c r="E181" s="9"/>
      <c r="F181" s="9"/>
      <c r="G181" s="9"/>
      <c r="H181" s="9"/>
      <c r="I181" s="9"/>
      <c r="J181" s="9"/>
      <c r="K181" s="9"/>
    </row>
    <row r="182" customFormat="false" ht="13" hidden="false" customHeight="false" outlineLevel="0" collapsed="false">
      <c r="A182" s="11"/>
      <c r="C182" s="11" t="n">
        <v>1988</v>
      </c>
      <c r="D182" s="9" t="n">
        <v>8.6</v>
      </c>
      <c r="E182" s="9" t="n">
        <v>8</v>
      </c>
      <c r="F182" s="9" t="n">
        <v>4.2</v>
      </c>
      <c r="G182" s="9" t="n">
        <v>3.9</v>
      </c>
      <c r="H182" s="9" t="n">
        <v>5.7</v>
      </c>
      <c r="I182" s="9" t="n">
        <v>7.5</v>
      </c>
      <c r="J182" s="9" t="n">
        <v>4.4</v>
      </c>
      <c r="K182" s="9"/>
    </row>
    <row r="183" customFormat="false" ht="13" hidden="false" customHeight="false" outlineLevel="0" collapsed="false">
      <c r="A183" s="11"/>
      <c r="C183" s="11"/>
      <c r="D183" s="9"/>
      <c r="E183" s="9"/>
      <c r="F183" s="9"/>
      <c r="G183" s="9"/>
      <c r="H183" s="9"/>
      <c r="I183" s="9"/>
      <c r="J183" s="9"/>
      <c r="K183" s="9"/>
    </row>
    <row r="184" customFormat="false" ht="13" hidden="false" customHeight="false" outlineLevel="0" collapsed="false">
      <c r="A184" s="11"/>
      <c r="B184" s="0" t="s">
        <v>94</v>
      </c>
      <c r="C184" s="11" t="n">
        <v>1968</v>
      </c>
      <c r="D184" s="9" t="n">
        <v>7.7</v>
      </c>
      <c r="E184" s="9" t="n">
        <v>9.8</v>
      </c>
      <c r="F184" s="9" t="n">
        <v>3.9</v>
      </c>
      <c r="G184" s="9" t="n">
        <v>3.9</v>
      </c>
      <c r="H184" s="9" t="n">
        <v>6</v>
      </c>
      <c r="I184" s="9" t="n">
        <v>5.7</v>
      </c>
      <c r="J184" s="9" t="n">
        <v>3.4</v>
      </c>
      <c r="K184" s="9"/>
    </row>
    <row r="185" customFormat="false" ht="13" hidden="false" customHeight="false" outlineLevel="0" collapsed="false">
      <c r="A185" s="11"/>
      <c r="C185" s="11"/>
      <c r="D185" s="9"/>
      <c r="E185" s="9"/>
      <c r="F185" s="9"/>
      <c r="G185" s="9"/>
      <c r="H185" s="9"/>
      <c r="I185" s="9"/>
      <c r="J185" s="9"/>
      <c r="K185" s="9"/>
    </row>
    <row r="186" customFormat="false" ht="13" hidden="false" customHeight="false" outlineLevel="0" collapsed="false">
      <c r="A186" s="11"/>
      <c r="C186" s="11" t="n">
        <v>1988</v>
      </c>
      <c r="D186" s="9" t="n">
        <v>10.1</v>
      </c>
      <c r="E186" s="9" t="n">
        <v>11.5</v>
      </c>
      <c r="F186" s="9" t="n">
        <v>3.4</v>
      </c>
      <c r="G186" s="9" t="n">
        <v>3.8</v>
      </c>
      <c r="H186" s="9" t="n">
        <v>6.1</v>
      </c>
      <c r="I186" s="9" t="n">
        <v>13</v>
      </c>
      <c r="J186" s="9" t="n">
        <v>5.9</v>
      </c>
      <c r="K186" s="9"/>
    </row>
    <row r="187" customFormat="false" ht="13" hidden="false" customHeight="false" outlineLevel="0" collapsed="false">
      <c r="A187" s="11"/>
      <c r="C187" s="11"/>
      <c r="D187" s="9"/>
      <c r="E187" s="9"/>
      <c r="F187" s="9"/>
      <c r="G187" s="9"/>
      <c r="H187" s="9"/>
      <c r="I187" s="9"/>
      <c r="J187" s="9"/>
      <c r="K187" s="9"/>
    </row>
    <row r="188" customFormat="false" ht="13" hidden="false" customHeight="false" outlineLevel="0" collapsed="false">
      <c r="A188" s="11"/>
      <c r="B188" s="0" t="s">
        <v>95</v>
      </c>
      <c r="C188" s="11" t="n">
        <v>1968</v>
      </c>
      <c r="D188" s="9" t="n">
        <v>4.4</v>
      </c>
      <c r="E188" s="9" t="n">
        <v>4.5</v>
      </c>
      <c r="F188" s="9" t="n">
        <v>3.3</v>
      </c>
      <c r="G188" s="9" t="n">
        <v>3.4</v>
      </c>
      <c r="H188" s="9" t="n">
        <v>3.2</v>
      </c>
      <c r="I188" s="9" t="n">
        <v>5.1</v>
      </c>
      <c r="J188" s="9" t="n">
        <v>3.7</v>
      </c>
      <c r="K188" s="9"/>
    </row>
    <row r="189" customFormat="false" ht="13" hidden="false" customHeight="false" outlineLevel="0" collapsed="false">
      <c r="A189" s="11"/>
      <c r="C189" s="11"/>
      <c r="D189" s="9"/>
      <c r="E189" s="9"/>
      <c r="F189" s="9"/>
      <c r="G189" s="9"/>
      <c r="H189" s="9"/>
      <c r="I189" s="9"/>
      <c r="J189" s="9"/>
      <c r="K189" s="9"/>
    </row>
    <row r="190" customFormat="false" ht="13" hidden="false" customHeight="false" outlineLevel="0" collapsed="false">
      <c r="A190" s="11"/>
      <c r="C190" s="11" t="n">
        <v>1988</v>
      </c>
      <c r="D190" s="9" t="n">
        <v>7.2</v>
      </c>
      <c r="E190" s="9" t="n">
        <v>7.5</v>
      </c>
      <c r="F190" s="9" t="n">
        <v>4</v>
      </c>
      <c r="G190" s="9" t="n">
        <v>4</v>
      </c>
      <c r="H190" s="9" t="n">
        <v>6.2</v>
      </c>
      <c r="I190" s="9" t="n">
        <v>4.6</v>
      </c>
      <c r="J190" s="9" t="n">
        <v>4.4</v>
      </c>
      <c r="K190" s="9"/>
    </row>
    <row r="191" customFormat="false" ht="13" hidden="false" customHeight="false" outlineLevel="0" collapsed="false">
      <c r="A191" s="11"/>
      <c r="C191" s="11"/>
      <c r="J191" s="11"/>
    </row>
    <row r="192" customFormat="false" ht="13" hidden="false" customHeight="false" outlineLevel="0" collapsed="false">
      <c r="A192" s="11"/>
      <c r="B192" s="11"/>
      <c r="D192" s="11"/>
      <c r="E192" s="11"/>
      <c r="F192" s="11"/>
      <c r="G192" s="11"/>
      <c r="H192" s="11"/>
      <c r="I192" s="11"/>
    </row>
    <row r="193" customFormat="false" ht="13" hidden="false" customHeight="false" outlineLevel="0" collapsed="false">
      <c r="A193" s="11"/>
      <c r="B193" s="0" t="s">
        <v>96</v>
      </c>
      <c r="C193" s="11" t="n">
        <v>1968</v>
      </c>
      <c r="D193" s="9" t="n">
        <f aca="false">((D176*$D$130)+(D180*$D$136)+(D184*$D$142)+(D188*$D$148))/($D$155)</f>
        <v>6.49780906116784</v>
      </c>
      <c r="E193" s="9" t="n">
        <f aca="false">((E176*$E$130)+(E180*$E$136)+(E184*$E$142)+(E188*$E$148))/($E$155)</f>
        <v>6.55332329128224</v>
      </c>
      <c r="F193" s="9" t="n">
        <f aca="false">((F176*$F$130)+(F180*$F$136)+(F184*$F$142)+(F188*$F$148))/($F$155)</f>
        <v>4.03648148148148</v>
      </c>
      <c r="G193" s="9" t="n">
        <f aca="false">((G176*$G$130)+(G180*$G$136)+(G184*$G$142)+(G188*$G$148))/($G$155)</f>
        <v>3.91893576756095</v>
      </c>
      <c r="H193" s="9" t="n">
        <f aca="false">((H176*$H$130)+(H180*$H$136)+(H184*$H$142)+(H188*$H$148))/($H$155)</f>
        <v>5.2131875</v>
      </c>
      <c r="I193" s="9" t="n">
        <f aca="false">((I176*$I$130)+(I180*$I$136)+(I184*$I$142)+(I188*$I$148))/($I$155)</f>
        <v>5.34118644067797</v>
      </c>
      <c r="J193" s="9" t="n">
        <f aca="false">((J176*$J$130)+(J180*$J$136)+(J184*$J$142)+(J188*$J$148))/($J$155)</f>
        <v>3.58747399084478</v>
      </c>
    </row>
    <row r="194" customFormat="false" ht="13" hidden="false" customHeight="false" outlineLevel="0" collapsed="false">
      <c r="A194" s="11"/>
      <c r="C194" s="11"/>
      <c r="J194" s="11"/>
    </row>
    <row r="195" customFormat="false" ht="13" hidden="false" customHeight="false" outlineLevel="0" collapsed="false">
      <c r="A195" s="11"/>
      <c r="B195" s="0" t="s">
        <v>97</v>
      </c>
      <c r="C195" s="11" t="n">
        <v>1988</v>
      </c>
      <c r="D195" s="9" t="n">
        <f aca="false">((D178*$D$133)+(D182*$D$139)+(D186*$D$145)+(D190*$D$151))/($D$158)</f>
        <v>7.77765159631455</v>
      </c>
      <c r="E195" s="9" t="n">
        <f aca="false">((E178*$E$133)+(E182*$E$139)+(E186*$E$145)+(E190*$E$151))/($E$158)</f>
        <v>8.15377271327379</v>
      </c>
      <c r="F195" s="9" t="n">
        <f aca="false">((F178*$F$133)+(F182*$F$139)+(F186*$F$145)+(F190*$F$151))/($F$158)</f>
        <v>4.03775959723096</v>
      </c>
      <c r="G195" s="9" t="n">
        <f aca="false">((G178*$G$133)+(G182*$G$139)+(G186*$G$145)+(G190*$G$151))/($G$158)</f>
        <v>4.23320448395825</v>
      </c>
      <c r="H195" s="9" t="n">
        <f aca="false">((H178*$H$133)+(H182*$H$139)+(H186*$H$145)+(H192*$H$151))/($H$158)</f>
        <v>5.46621078037007</v>
      </c>
      <c r="I195" s="9" t="n">
        <f aca="false">((I178*$I$133)+(I182*$I$139)+(I186*$I$145)+(I190*$I$151))/($I$158)</f>
        <v>6.57086466165414</v>
      </c>
      <c r="J195" s="9" t="n">
        <f aca="false">((J178*$J$133)+(J182*$J$139)+(J186*$J$145)+(J190*$J$151))/($J$158)</f>
        <v>4.89815989847716</v>
      </c>
      <c r="K195" s="9"/>
    </row>
    <row r="196" customFormat="false" ht="13" hidden="false" customHeight="false" outlineLevel="0" collapsed="false">
      <c r="A196" s="11"/>
      <c r="C196" s="11"/>
      <c r="J196" s="11"/>
    </row>
    <row r="197" customFormat="false" ht="13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 customFormat="false" ht="13" hidden="false" customHeight="false" outlineLevel="0" collapsed="false">
      <c r="D198" s="9"/>
      <c r="E198" s="9"/>
      <c r="F198" s="9"/>
      <c r="G198" s="9"/>
      <c r="H198" s="9"/>
      <c r="I198" s="9"/>
      <c r="J198" s="9"/>
      <c r="K198" s="9"/>
    </row>
    <row r="199" customFormat="false" ht="13" hidden="false" customHeight="false" outlineLevel="0" collapsed="false">
      <c r="D199" s="9"/>
      <c r="E199" s="9"/>
      <c r="F199" s="9"/>
      <c r="G199" s="9"/>
      <c r="H199" s="9"/>
      <c r="I199" s="9"/>
      <c r="J199" s="9"/>
      <c r="K199" s="9"/>
    </row>
    <row r="200" customFormat="false" ht="13" hidden="false" customHeight="false" outlineLevel="0" collapsed="false">
      <c r="B200" s="0" t="s">
        <v>98</v>
      </c>
      <c r="D200" s="9"/>
      <c r="E200" s="9"/>
      <c r="F200" s="9"/>
      <c r="G200" s="9"/>
      <c r="H200" s="9"/>
      <c r="I200" s="9"/>
      <c r="J200" s="9"/>
      <c r="K200" s="9"/>
    </row>
    <row r="201" customFormat="false" ht="13" hidden="false" customHeight="false" outlineLevel="0" collapsed="false">
      <c r="B201" s="0" t="s">
        <v>99</v>
      </c>
      <c r="D201" s="9"/>
      <c r="E201" s="9"/>
      <c r="F201" s="9"/>
      <c r="G201" s="9"/>
      <c r="H201" s="9"/>
      <c r="I201" s="9"/>
      <c r="J201" s="9"/>
      <c r="K201" s="9"/>
    </row>
    <row r="202" customFormat="false" ht="13" hidden="false" customHeight="false" outlineLevel="0" collapsed="false">
      <c r="B202" s="0" t="s">
        <v>106</v>
      </c>
      <c r="D202" s="9"/>
      <c r="E202" s="9"/>
      <c r="F202" s="9"/>
      <c r="G202" s="9"/>
      <c r="H202" s="9"/>
      <c r="I202" s="9"/>
      <c r="J202" s="9"/>
      <c r="K202" s="9"/>
    </row>
    <row r="203" customFormat="false" ht="13" hidden="false" customHeight="false" outlineLevel="0" collapsed="false">
      <c r="D203" s="9"/>
      <c r="E203" s="9"/>
      <c r="F203" s="9"/>
      <c r="G203" s="9"/>
      <c r="H203" s="9"/>
      <c r="I203" s="9"/>
      <c r="J203" s="9"/>
      <c r="K203" s="9"/>
    </row>
    <row r="204" customFormat="false" ht="13" hidden="false" customHeight="false" outlineLevel="0" collapsed="false">
      <c r="C204" s="0" t="s">
        <v>107</v>
      </c>
      <c r="D204" s="9" t="s">
        <v>108</v>
      </c>
      <c r="E204" s="9"/>
      <c r="F204" s="9"/>
      <c r="G204" s="9"/>
      <c r="H204" s="9"/>
      <c r="I204" s="9"/>
      <c r="J204" s="9"/>
      <c r="K204" s="9"/>
    </row>
    <row r="205" customFormat="false" ht="13" hidden="false" customHeight="false" outlineLevel="0" collapsed="false">
      <c r="D205" s="9" t="s">
        <v>104</v>
      </c>
      <c r="E205" s="9"/>
      <c r="F205" s="9"/>
      <c r="G205" s="9"/>
      <c r="H205" s="9"/>
      <c r="I205" s="9"/>
      <c r="J205" s="9"/>
      <c r="K205" s="9"/>
    </row>
    <row r="206" customFormat="false" ht="13" hidden="false" customHeight="false" outlineLevel="0" collapsed="false">
      <c r="D206" s="9"/>
      <c r="E206" s="9"/>
      <c r="F206" s="9"/>
      <c r="G206" s="9"/>
      <c r="H206" s="9"/>
      <c r="I206" s="9"/>
      <c r="J206" s="9"/>
      <c r="K206" s="9"/>
    </row>
    <row r="207" customFormat="false" ht="13" hidden="false" customHeight="false" outlineLevel="0" collapsed="false">
      <c r="D207" s="9"/>
      <c r="E207" s="9"/>
      <c r="F207" s="9"/>
      <c r="G207" s="9"/>
      <c r="H207" s="9"/>
      <c r="I207" s="9"/>
      <c r="J207" s="9"/>
      <c r="K207" s="9"/>
    </row>
    <row r="208" customFormat="false" ht="13" hidden="false" customHeight="false" outlineLevel="0" collapsed="false">
      <c r="B208" s="14" t="s">
        <v>109</v>
      </c>
      <c r="C208" s="14" t="s">
        <v>109</v>
      </c>
      <c r="D208" s="15" t="s">
        <v>109</v>
      </c>
      <c r="E208" s="15" t="s">
        <v>109</v>
      </c>
      <c r="F208" s="15" t="s">
        <v>109</v>
      </c>
      <c r="G208" s="15" t="s">
        <v>109</v>
      </c>
      <c r="H208" s="15" t="s">
        <v>109</v>
      </c>
      <c r="I208" s="15" t="s">
        <v>109</v>
      </c>
      <c r="J208" s="15" t="s">
        <v>109</v>
      </c>
      <c r="K208" s="9"/>
    </row>
    <row r="209" customFormat="false" ht="13" hidden="false" customHeight="false" outlineLevel="0" collapsed="false">
      <c r="D209" s="9"/>
      <c r="E209" s="9" t="s">
        <v>80</v>
      </c>
      <c r="F209" s="9"/>
      <c r="G209" s="9"/>
      <c r="H209" s="9"/>
      <c r="I209" s="9"/>
      <c r="J209" s="9"/>
      <c r="K209" s="9"/>
    </row>
    <row r="210" customFormat="false" ht="13" hidden="false" customHeight="false" outlineLevel="0" collapsed="false">
      <c r="B210" s="0" t="s">
        <v>81</v>
      </c>
      <c r="C210" s="0" t="s">
        <v>82</v>
      </c>
      <c r="D210" s="16" t="s">
        <v>30</v>
      </c>
      <c r="E210" s="16" t="s">
        <v>31</v>
      </c>
      <c r="F210" s="16" t="s">
        <v>32</v>
      </c>
      <c r="G210" s="16" t="s">
        <v>33</v>
      </c>
      <c r="H210" s="16" t="s">
        <v>34</v>
      </c>
      <c r="I210" s="16" t="s">
        <v>35</v>
      </c>
      <c r="J210" s="16" t="s">
        <v>36</v>
      </c>
      <c r="K210" s="9"/>
    </row>
    <row r="211" customFormat="false" ht="13" hidden="false" customHeight="false" outlineLevel="0" collapsed="false">
      <c r="B211" s="14" t="s">
        <v>109</v>
      </c>
      <c r="C211" s="14" t="s">
        <v>109</v>
      </c>
      <c r="D211" s="15" t="s">
        <v>109</v>
      </c>
      <c r="E211" s="15" t="s">
        <v>109</v>
      </c>
      <c r="F211" s="15" t="s">
        <v>109</v>
      </c>
      <c r="G211" s="15" t="s">
        <v>109</v>
      </c>
      <c r="H211" s="15" t="s">
        <v>109</v>
      </c>
      <c r="I211" s="15" t="s">
        <v>109</v>
      </c>
      <c r="J211" s="15" t="s">
        <v>109</v>
      </c>
      <c r="K211" s="9"/>
    </row>
    <row r="212" customFormat="false" ht="13" hidden="false" customHeight="false" outlineLevel="0" collapsed="false">
      <c r="D212" s="9"/>
      <c r="E212" s="9"/>
      <c r="F212" s="9"/>
      <c r="G212" s="9"/>
      <c r="H212" s="9"/>
      <c r="I212" s="9"/>
      <c r="J212" s="9"/>
      <c r="K212" s="9"/>
    </row>
    <row r="213" customFormat="false" ht="13" hidden="false" customHeight="false" outlineLevel="0" collapsed="false">
      <c r="B213" s="0" t="s">
        <v>37</v>
      </c>
      <c r="C213" s="0" t="n">
        <v>1968</v>
      </c>
      <c r="D213" s="9" t="n">
        <f aca="false">(D176*60)/D129</f>
        <v>14.6289752650177</v>
      </c>
      <c r="E213" s="9" t="n">
        <f aca="false">(E176*60)/E129</f>
        <v>12.7384615384615</v>
      </c>
      <c r="F213" s="9" t="n">
        <f aca="false">(F176*60)/F129</f>
        <v>14.0625</v>
      </c>
      <c r="G213" s="9" t="n">
        <f aca="false">(G176*60)/G129</f>
        <v>13.4831460674157</v>
      </c>
      <c r="H213" s="9" t="n">
        <f aca="false">(H176*60)/H129</f>
        <v>12.0879120879121</v>
      </c>
      <c r="I213" s="9" t="n">
        <f aca="false">(I176*60)/I129</f>
        <v>12.2950819672131</v>
      </c>
      <c r="J213" s="9" t="n">
        <f aca="false">(J176*60)/J129</f>
        <v>12.7374301675978</v>
      </c>
      <c r="K213" s="9"/>
    </row>
    <row r="214" customFormat="false" ht="13" hidden="false" customHeight="false" outlineLevel="0" collapsed="false">
      <c r="D214" s="9"/>
      <c r="E214" s="9"/>
      <c r="F214" s="9"/>
      <c r="G214" s="9"/>
      <c r="H214" s="9"/>
      <c r="I214" s="9"/>
      <c r="J214" s="9"/>
      <c r="K214" s="9"/>
    </row>
    <row r="215" customFormat="false" ht="13" hidden="false" customHeight="false" outlineLevel="0" collapsed="false">
      <c r="C215" s="0" t="n">
        <v>1988</v>
      </c>
      <c r="D215" s="9" t="n">
        <f aca="false">(D178*60)/D132</f>
        <v>16.1937716262976</v>
      </c>
      <c r="E215" s="9" t="n">
        <f aca="false">(E178*60)/E132</f>
        <v>15.3230769230769</v>
      </c>
      <c r="F215" s="9" t="n">
        <f aca="false">(F178*60)/F132</f>
        <v>13.5483870967742</v>
      </c>
      <c r="G215" s="9" t="n">
        <f aca="false">(G178*60)/G132</f>
        <v>13.5678391959799</v>
      </c>
      <c r="H215" s="9" t="n">
        <f aca="false">(H178*60)/H132</f>
        <v>14.4360902255639</v>
      </c>
      <c r="I215" s="9" t="n">
        <f aca="false">(I178*60)/I132</f>
        <v>14.6511627906977</v>
      </c>
      <c r="J215" s="9" t="n">
        <f aca="false">(J178*60)/J132</f>
        <v>16.8539325842697</v>
      </c>
      <c r="K215" s="9"/>
    </row>
    <row r="216" customFormat="false" ht="13" hidden="false" customHeight="false" outlineLevel="0" collapsed="false">
      <c r="D216" s="9"/>
      <c r="E216" s="9"/>
      <c r="F216" s="9"/>
      <c r="G216" s="9"/>
      <c r="H216" s="9"/>
      <c r="I216" s="9"/>
      <c r="J216" s="9"/>
      <c r="K216" s="9"/>
    </row>
    <row r="217" customFormat="false" ht="13" hidden="false" customHeight="false" outlineLevel="0" collapsed="false">
      <c r="B217" s="0" t="s">
        <v>44</v>
      </c>
      <c r="C217" s="0" t="n">
        <v>1968</v>
      </c>
      <c r="D217" s="9" t="n">
        <f aca="false">(D180*60)/D135</f>
        <v>12.6315789473684</v>
      </c>
      <c r="E217" s="9" t="n">
        <f aca="false">(E180*60)/E135</f>
        <v>11.3736263736264</v>
      </c>
      <c r="F217" s="9" t="n">
        <f aca="false">(F180*60)/F135</f>
        <v>13.6046511627907</v>
      </c>
      <c r="G217" s="9" t="n">
        <f aca="false">(G180*60)/G135</f>
        <v>13.072625698324</v>
      </c>
      <c r="H217" s="9" t="n">
        <f aca="false">(H180*60)/H135</f>
        <v>11.4388489208633</v>
      </c>
      <c r="I217" s="9" t="n">
        <f aca="false">(I180*60)/I135</f>
        <v>13.953488372093</v>
      </c>
      <c r="J217" s="9" t="n">
        <f aca="false">(J180*60)/J135</f>
        <v>12.280701754386</v>
      </c>
      <c r="K217" s="9"/>
    </row>
    <row r="218" customFormat="false" ht="13" hidden="false" customHeight="false" outlineLevel="0" collapsed="false">
      <c r="D218" s="9"/>
      <c r="E218" s="9"/>
      <c r="F218" s="9"/>
      <c r="G218" s="9"/>
      <c r="H218" s="9"/>
      <c r="I218" s="9"/>
      <c r="J218" s="9"/>
      <c r="K218" s="9"/>
    </row>
    <row r="219" customFormat="false" ht="13" hidden="false" customHeight="false" outlineLevel="0" collapsed="false">
      <c r="C219" s="0" t="n">
        <v>1988</v>
      </c>
      <c r="D219" s="9" t="n">
        <f aca="false">(D182*60)/D138</f>
        <v>16.5384615384615</v>
      </c>
      <c r="E219" s="9" t="n">
        <f aca="false">(E182*60)/E138</f>
        <v>14.8606811145511</v>
      </c>
      <c r="F219" s="9" t="n">
        <f aca="false">(F182*60)/F138</f>
        <v>13.9226519337017</v>
      </c>
      <c r="G219" s="9" t="n">
        <f aca="false">(G182*60)/G138</f>
        <v>12.5133689839572</v>
      </c>
      <c r="H219" s="9" t="n">
        <f aca="false">(H182*60)/H138</f>
        <v>12.9545454545455</v>
      </c>
      <c r="I219" s="9" t="n">
        <f aca="false">(I182*60)/I138</f>
        <v>13.677811550152</v>
      </c>
      <c r="J219" s="9" t="n">
        <f aca="false">(J182*60)/J138</f>
        <v>15.5294117647059</v>
      </c>
      <c r="K219" s="9"/>
    </row>
    <row r="220" customFormat="false" ht="13" hidden="false" customHeight="false" outlineLevel="0" collapsed="false">
      <c r="D220" s="9"/>
      <c r="E220" s="9"/>
      <c r="F220" s="9"/>
      <c r="G220" s="9"/>
      <c r="H220" s="9"/>
      <c r="I220" s="9"/>
      <c r="J220" s="9"/>
      <c r="K220" s="9"/>
    </row>
    <row r="221" customFormat="false" ht="13" hidden="false" customHeight="false" outlineLevel="0" collapsed="false">
      <c r="B221" s="0" t="s">
        <v>46</v>
      </c>
      <c r="C221" s="0" t="n">
        <v>1968</v>
      </c>
      <c r="D221" s="9" t="n">
        <f aca="false">(D184*60)/D141</f>
        <v>11.3513513513514</v>
      </c>
      <c r="E221" s="9" t="n">
        <f aca="false">(E184*60)/E141</f>
        <v>12.431289640592</v>
      </c>
      <c r="F221" s="9" t="n">
        <f aca="false">(F184*60)/F141</f>
        <v>13.5260115606936</v>
      </c>
      <c r="G221" s="9" t="n">
        <f aca="false">(G184*60)/G141</f>
        <v>12.6486486486487</v>
      </c>
      <c r="H221" s="9" t="n">
        <f aca="false">(H184*60)/H141</f>
        <v>11.1455108359133</v>
      </c>
      <c r="I221" s="9" t="n">
        <f aca="false">(I184*60)/I141</f>
        <v>9.77142857142857</v>
      </c>
      <c r="J221" s="9" t="n">
        <f aca="false">(J184*60)/J141</f>
        <v>13.5099337748344</v>
      </c>
      <c r="K221" s="9"/>
    </row>
    <row r="222" customFormat="false" ht="13" hidden="false" customHeight="false" outlineLevel="0" collapsed="false">
      <c r="D222" s="9"/>
      <c r="E222" s="9"/>
      <c r="F222" s="9"/>
      <c r="G222" s="9"/>
      <c r="H222" s="9"/>
      <c r="I222" s="9"/>
      <c r="J222" s="9"/>
      <c r="K222" s="9"/>
    </row>
    <row r="223" customFormat="false" ht="13" hidden="false" customHeight="false" outlineLevel="0" collapsed="false">
      <c r="C223" s="0" t="n">
        <v>1988</v>
      </c>
      <c r="D223" s="9" t="n">
        <f aca="false">(D186*60)/D144</f>
        <v>16.031746031746</v>
      </c>
      <c r="E223" s="9" t="n">
        <f aca="false">(E186*60)/E144</f>
        <v>15.6462585034014</v>
      </c>
      <c r="F223" s="9" t="n">
        <f aca="false">(F186*60)/F144</f>
        <v>12.2155688622755</v>
      </c>
      <c r="G223" s="9" t="n">
        <f aca="false">(G186*60)/G144</f>
        <v>15.0993377483444</v>
      </c>
      <c r="H223" s="9" t="n">
        <f aca="false">(H186*60)/H144</f>
        <v>12.1594684385382</v>
      </c>
      <c r="I223" s="9" t="n">
        <f aca="false">(I186*60)/I144</f>
        <v>23.2835820895522</v>
      </c>
      <c r="J223" s="9" t="n">
        <f aca="false">(J186*60)/J144</f>
        <v>19.4505494505495</v>
      </c>
      <c r="K223" s="9"/>
    </row>
    <row r="224" customFormat="false" ht="13" hidden="false" customHeight="false" outlineLevel="0" collapsed="false">
      <c r="D224" s="9"/>
      <c r="E224" s="9"/>
      <c r="F224" s="9"/>
      <c r="G224" s="9"/>
      <c r="H224" s="9"/>
      <c r="I224" s="9"/>
      <c r="J224" s="9"/>
      <c r="K224" s="9"/>
    </row>
    <row r="225" customFormat="false" ht="13" hidden="false" customHeight="false" outlineLevel="0" collapsed="false">
      <c r="B225" s="0" t="s">
        <v>95</v>
      </c>
      <c r="C225" s="0" t="n">
        <v>1968</v>
      </c>
      <c r="D225" s="9" t="n">
        <f aca="false">(D188*60)/D147</f>
        <v>5.95936794582393</v>
      </c>
      <c r="E225" s="9" t="n">
        <f aca="false">(E188*60)/E147</f>
        <v>5.25291828793774</v>
      </c>
      <c r="F225" s="9" t="n">
        <f aca="false">(F188*60)/F147</f>
        <v>5</v>
      </c>
      <c r="G225" s="9" t="n">
        <f aca="false">(G188*60)/G147</f>
        <v>4.76635514018692</v>
      </c>
      <c r="H225" s="9" t="n">
        <f aca="false">(H188*60)/H147</f>
        <v>4.98701298701299</v>
      </c>
      <c r="I225" s="9" t="n">
        <f aca="false">(I188*60)/I147</f>
        <v>8.31521739130435</v>
      </c>
      <c r="J225" s="9" t="n">
        <f aca="false">(J188*60)/J147</f>
        <v>6.62686567164179</v>
      </c>
      <c r="K225" s="9"/>
    </row>
    <row r="226" customFormat="false" ht="13" hidden="false" customHeight="false" outlineLevel="0" collapsed="false">
      <c r="D226" s="9"/>
      <c r="E226" s="9"/>
      <c r="F226" s="9"/>
      <c r="G226" s="9"/>
      <c r="H226" s="9"/>
      <c r="I226" s="9"/>
      <c r="J226" s="9"/>
      <c r="K226" s="9"/>
    </row>
    <row r="227" customFormat="false" ht="13" hidden="false" customHeight="false" outlineLevel="0" collapsed="false">
      <c r="C227" s="0" t="n">
        <v>1988</v>
      </c>
      <c r="D227" s="9" t="n">
        <f aca="false">(D190*60)/D150</f>
        <v>10.0934579439252</v>
      </c>
      <c r="E227" s="9" t="n">
        <f aca="false">(E190*60)/E150</f>
        <v>9.78260869565217</v>
      </c>
      <c r="F227" s="9" t="n">
        <f aca="false">(F190*60)/F150</f>
        <v>6.66666666666667</v>
      </c>
      <c r="G227" s="9" t="n">
        <f aca="false">(G190*60)/G150</f>
        <v>6.61157024793388</v>
      </c>
      <c r="H227" s="9" t="n">
        <f aca="false">(H190*60)/H150</f>
        <v>9.8936170212766</v>
      </c>
      <c r="I227" s="9" t="n">
        <f aca="false">(I190*60)/I150</f>
        <v>10.1470588235294</v>
      </c>
      <c r="J227" s="9" t="n">
        <f aca="false">(J190*60)/J150</f>
        <v>7.63005780346821</v>
      </c>
      <c r="K227" s="9"/>
    </row>
    <row r="229" customFormat="false" ht="13" hidden="false" customHeight="false" outlineLevel="0" collapsed="false">
      <c r="D229" s="9" t="n">
        <f aca="false">(D193*60)/D154</f>
        <v>12.1642214624704</v>
      </c>
      <c r="E229" s="9" t="n">
        <f aca="false">(E193*60)/E154</f>
        <v>10.6489907772204</v>
      </c>
      <c r="F229" s="9" t="n">
        <f aca="false">(F193*60)/F154</f>
        <v>12.541156332933</v>
      </c>
      <c r="G229" s="9" t="n">
        <f aca="false">(G193*60)/G154</f>
        <v>12.3802289391781</v>
      </c>
      <c r="H229" s="9" t="n">
        <f aca="false">(H193*60)/H154</f>
        <v>10.886582598992</v>
      </c>
      <c r="I229" s="9" t="n">
        <f aca="false">(I193*60)/I154</f>
        <v>12.2167086644699</v>
      </c>
      <c r="J229" s="9" t="n">
        <f aca="false">(J193*60)/J154</f>
        <v>12.2133622979658</v>
      </c>
      <c r="K229" s="9"/>
      <c r="L229" s="9"/>
    </row>
    <row r="230" customFormat="false" ht="13" hidden="false" customHeight="false" outlineLevel="0" collapsed="false">
      <c r="D230" s="9"/>
      <c r="E230" s="9"/>
      <c r="F230" s="9"/>
      <c r="G230" s="9"/>
      <c r="H230" s="9"/>
      <c r="I230" s="9"/>
      <c r="J230" s="9"/>
      <c r="K230" s="9"/>
      <c r="L230" s="9"/>
    </row>
    <row r="231" customFormat="false" ht="13" hidden="false" customHeight="false" outlineLevel="0" collapsed="false">
      <c r="D231" s="9" t="n">
        <f aca="false">(D195*60)/D157</f>
        <v>14.4902429125555</v>
      </c>
      <c r="E231" s="9" t="n">
        <f aca="false">(E195*60)/E157</f>
        <v>13.5654477400997</v>
      </c>
      <c r="F231" s="9" t="n">
        <f aca="false">(F195*60)/F157</f>
        <v>12.7293168441241</v>
      </c>
      <c r="G231" s="9" t="n">
        <f aca="false">(G195*60)/G157</f>
        <v>12.5745725248543</v>
      </c>
      <c r="H231" s="9" t="n">
        <f aca="false">(H195*60)/H157</f>
        <v>11.6556067966023</v>
      </c>
      <c r="I231" s="9" t="n">
        <f aca="false">(I195*60)/I157</f>
        <v>14.4292407074897</v>
      </c>
      <c r="J231" s="9" t="n">
        <f aca="false">(J195*60)/J157</f>
        <v>15.8709000945737</v>
      </c>
      <c r="K231" s="9"/>
      <c r="L231" s="9"/>
    </row>
    <row r="235" customFormat="false" ht="13" hidden="false" customHeight="false" outlineLevel="0" collapsed="false">
      <c r="B235" s="14" t="s">
        <v>109</v>
      </c>
      <c r="C235" s="14" t="s">
        <v>109</v>
      </c>
      <c r="D235" s="9"/>
      <c r="E235" s="9"/>
      <c r="F235" s="9"/>
      <c r="G235" s="9"/>
      <c r="H235" s="9"/>
      <c r="I235" s="9"/>
      <c r="J235" s="9"/>
      <c r="K235" s="9"/>
    </row>
    <row r="236" customFormat="false" ht="13" hidden="false" customHeight="false" outlineLevel="0" collapsed="false">
      <c r="D236" s="9"/>
      <c r="E236" s="9"/>
      <c r="F236" s="9"/>
      <c r="G236" s="9"/>
      <c r="H236" s="9"/>
      <c r="I236" s="9"/>
      <c r="J236" s="9"/>
      <c r="K236" s="9"/>
    </row>
    <row r="237" customFormat="false" ht="13" hidden="false" customHeight="false" outlineLevel="0" collapsed="false">
      <c r="B237" s="0" t="s">
        <v>98</v>
      </c>
      <c r="D237" s="9"/>
      <c r="E237" s="9"/>
      <c r="F237" s="9"/>
      <c r="G237" s="9"/>
      <c r="H237" s="9"/>
      <c r="I237" s="9"/>
      <c r="J237" s="9"/>
      <c r="K237" s="9"/>
    </row>
    <row r="238" customFormat="false" ht="13" hidden="false" customHeight="false" outlineLevel="0" collapsed="false">
      <c r="B238" s="0" t="s">
        <v>99</v>
      </c>
      <c r="D238" s="9"/>
      <c r="E238" s="9"/>
      <c r="F238" s="9"/>
      <c r="G238" s="9"/>
      <c r="H238" s="9"/>
      <c r="I238" s="9"/>
      <c r="J238" s="9"/>
    </row>
    <row r="239" customFormat="false" ht="13" hidden="false" customHeight="false" outlineLevel="0" collapsed="false">
      <c r="B239" s="0" t="s">
        <v>106</v>
      </c>
      <c r="D239" s="9"/>
      <c r="E239" s="9"/>
      <c r="F239" s="9"/>
      <c r="G239" s="9"/>
      <c r="H239" s="9"/>
      <c r="I239" s="9"/>
      <c r="J239" s="9"/>
    </row>
    <row r="240" customFormat="false" ht="13" hidden="false" customHeight="false" outlineLevel="0" collapsed="false">
      <c r="D240" s="9"/>
      <c r="E240" s="9"/>
      <c r="F240" s="9"/>
      <c r="G240" s="9"/>
      <c r="H240" s="9"/>
      <c r="I240" s="9"/>
      <c r="J240" s="9"/>
    </row>
    <row r="241" customFormat="false" ht="13" hidden="false" customHeight="false" outlineLevel="0" collapsed="false">
      <c r="D241" s="9"/>
      <c r="E241" s="9"/>
      <c r="F241" s="9"/>
      <c r="G241" s="9"/>
      <c r="H241" s="9"/>
      <c r="I241" s="9"/>
      <c r="J241" s="9"/>
    </row>
    <row r="242" customFormat="false" ht="13" hidden="false" customHeight="false" outlineLevel="0" collapsed="false">
      <c r="C242" s="11" t="s">
        <v>110</v>
      </c>
      <c r="D242" s="9" t="s">
        <v>111</v>
      </c>
      <c r="E242" s="9"/>
      <c r="F242" s="9"/>
      <c r="G242" s="9"/>
      <c r="H242" s="9"/>
      <c r="I242" s="9"/>
      <c r="J242" s="9"/>
      <c r="K242" s="9"/>
    </row>
    <row r="243" customFormat="false" ht="13" hidden="false" customHeight="false" outlineLevel="0" collapsed="false">
      <c r="C243" s="11"/>
      <c r="D243" s="9" t="s">
        <v>112</v>
      </c>
      <c r="E243" s="9"/>
      <c r="F243" s="9"/>
      <c r="G243" s="9"/>
      <c r="H243" s="9"/>
      <c r="I243" s="9"/>
      <c r="J243" s="9"/>
      <c r="K243" s="9"/>
    </row>
    <row r="244" customFormat="false" ht="13" hidden="false" customHeight="false" outlineLevel="0" collapsed="false">
      <c r="D244" s="9" t="s">
        <v>103</v>
      </c>
      <c r="E244" s="9"/>
      <c r="F244" s="9"/>
      <c r="G244" s="9"/>
      <c r="H244" s="9"/>
      <c r="I244" s="9"/>
      <c r="J244" s="9"/>
      <c r="K244" s="9"/>
    </row>
    <row r="245" customFormat="false" ht="13" hidden="false" customHeight="false" outlineLevel="0" collapsed="false">
      <c r="D245" s="9" t="s">
        <v>104</v>
      </c>
      <c r="E245" s="9"/>
      <c r="F245" s="9"/>
      <c r="G245" s="9"/>
      <c r="H245" s="9"/>
      <c r="I245" s="9"/>
      <c r="J245" s="9"/>
      <c r="K245" s="9"/>
    </row>
    <row r="246" customFormat="false" ht="13" hidden="false" customHeight="false" outlineLevel="0" collapsed="false">
      <c r="D246" s="9"/>
      <c r="E246" s="9"/>
      <c r="F246" s="9"/>
      <c r="G246" s="9"/>
      <c r="H246" s="9"/>
      <c r="I246" s="9"/>
      <c r="J246" s="9"/>
      <c r="K246" s="9"/>
    </row>
    <row r="247" customFormat="false" ht="13" hidden="false" customHeight="false" outlineLevel="0" collapsed="false">
      <c r="B247" s="11"/>
      <c r="D247" s="9"/>
      <c r="E247" s="9" t="s">
        <v>80</v>
      </c>
      <c r="F247" s="9"/>
      <c r="G247" s="9"/>
      <c r="H247" s="9"/>
      <c r="I247" s="9"/>
      <c r="J247" s="9"/>
      <c r="K247" s="9"/>
    </row>
    <row r="248" customFormat="false" ht="13" hidden="false" customHeight="false" outlineLevel="0" collapsed="false">
      <c r="A248" s="11"/>
      <c r="C248" s="11" t="s">
        <v>81</v>
      </c>
      <c r="D248" s="10" t="s">
        <v>105</v>
      </c>
      <c r="E248" s="10" t="s">
        <v>83</v>
      </c>
      <c r="F248" s="10" t="s">
        <v>105</v>
      </c>
      <c r="G248" s="10" t="s">
        <v>86</v>
      </c>
      <c r="H248" s="10" t="s">
        <v>83</v>
      </c>
      <c r="I248" s="10" t="s">
        <v>86</v>
      </c>
      <c r="J248" s="10" t="s">
        <v>86</v>
      </c>
      <c r="K248" s="9"/>
      <c r="M248" s="17"/>
      <c r="N248" s="17"/>
    </row>
    <row r="249" customFormat="false" ht="13" hidden="false" customHeight="false" outlineLevel="0" collapsed="false">
      <c r="A249" s="11"/>
      <c r="B249" s="11"/>
      <c r="C249" s="11"/>
      <c r="D249" s="10" t="s">
        <v>87</v>
      </c>
      <c r="E249" s="10" t="s">
        <v>88</v>
      </c>
      <c r="F249" s="10" t="s">
        <v>89</v>
      </c>
      <c r="G249" s="10" t="s">
        <v>88</v>
      </c>
      <c r="H249" s="10" t="s">
        <v>89</v>
      </c>
      <c r="I249" s="10" t="s">
        <v>87</v>
      </c>
      <c r="J249" s="10" t="s">
        <v>89</v>
      </c>
      <c r="K249" s="9"/>
      <c r="M249" s="17"/>
      <c r="N249" s="17"/>
    </row>
    <row r="250" customFormat="false" ht="13" hidden="false" customHeight="false" outlineLevel="0" collapsed="false">
      <c r="A250" s="11"/>
      <c r="C250" s="11"/>
      <c r="J250" s="11"/>
    </row>
    <row r="251" customFormat="false" ht="13" hidden="false" customHeight="false" outlineLevel="0" collapsed="false">
      <c r="A251" s="11"/>
      <c r="C251" s="11" t="s">
        <v>90</v>
      </c>
      <c r="D251" s="9" t="n">
        <f aca="false">(D215-D213)*100/D213</f>
        <v>10.6965548367685</v>
      </c>
      <c r="E251" s="9" t="n">
        <f aca="false">(E215-E213)*100/E213</f>
        <v>20.2898550724638</v>
      </c>
      <c r="F251" s="9" t="n">
        <f aca="false">(F215-F213)*100/F213</f>
        <v>-3.65591397849463</v>
      </c>
      <c r="G251" s="9" t="n">
        <f aca="false">(G215-G213)*100/G213</f>
        <v>0.628140703517598</v>
      </c>
      <c r="H251" s="9" t="n">
        <f aca="false">(H215-H213)*100/H213</f>
        <v>19.4258373205742</v>
      </c>
      <c r="I251" s="9" t="n">
        <f aca="false">(I215-I213)*100/I213</f>
        <v>19.1627906976744</v>
      </c>
      <c r="J251" s="9" t="n">
        <f aca="false">(J215-J213)*100/J213</f>
        <v>32.3181549379065</v>
      </c>
    </row>
    <row r="252" customFormat="false" ht="13" hidden="false" customHeight="false" outlineLevel="0" collapsed="false">
      <c r="A252" s="11"/>
      <c r="C252" s="11"/>
      <c r="J252" s="11"/>
    </row>
    <row r="253" customFormat="false" ht="13" hidden="false" customHeight="false" outlineLevel="0" collapsed="false">
      <c r="A253" s="11"/>
      <c r="C253" s="11" t="s">
        <v>93</v>
      </c>
      <c r="D253" s="9" t="n">
        <f aca="false">(D219-D217)*100/D217</f>
        <v>30.9294871794872</v>
      </c>
      <c r="E253" s="9" t="n">
        <f aca="false">(E219-E217)*100/E217</f>
        <v>30.6591286400144</v>
      </c>
      <c r="F253" s="9" t="n">
        <f aca="false">(F219-F217)*100/F217</f>
        <v>2.33744156396089</v>
      </c>
      <c r="G253" s="9" t="n">
        <f aca="false">(G219-G217)*100/G217</f>
        <v>-4.27807486631016</v>
      </c>
      <c r="H253" s="9" t="n">
        <f aca="false">(H219-H217)*100/H217</f>
        <v>13.2504288164666</v>
      </c>
      <c r="I253" s="9" t="n">
        <f aca="false">(I219-I217)*100/I217</f>
        <v>-1.97568389057751</v>
      </c>
      <c r="J253" s="9" t="n">
        <f aca="false">(J219-J217)*100/J217</f>
        <v>26.453781512605</v>
      </c>
      <c r="K253" s="17"/>
      <c r="L253" s="17"/>
      <c r="M253" s="17"/>
      <c r="N253" s="17"/>
    </row>
    <row r="254" customFormat="false" ht="13" hidden="false" customHeight="false" outlineLevel="0" collapsed="false">
      <c r="A254" s="11"/>
      <c r="C254" s="11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customFormat="false" ht="13" hidden="false" customHeight="false" outlineLevel="0" collapsed="false">
      <c r="A255" s="11"/>
      <c r="C255" s="11" t="s">
        <v>94</v>
      </c>
      <c r="D255" s="9" t="n">
        <f aca="false">(D223-D221)*100/D221</f>
        <v>41.2320483749055</v>
      </c>
      <c r="E255" s="9" t="n">
        <f aca="false">(E223-E221)*100/E221</f>
        <v>25.8619093896062</v>
      </c>
      <c r="F255" s="9" t="n">
        <f aca="false">(F223-F221)*100/F221</f>
        <v>-9.68831567633962</v>
      </c>
      <c r="G255" s="9" t="n">
        <f aca="false">(G223-G221)*100/G221</f>
        <v>19.375106130073</v>
      </c>
      <c r="H255" s="9" t="n">
        <f aca="false">(H223-H221)*100/H221</f>
        <v>9.09745293466222</v>
      </c>
      <c r="I255" s="9" t="n">
        <f aca="false">(I223-I221)*100/I221</f>
        <v>138.282272846295</v>
      </c>
      <c r="J255" s="9" t="n">
        <f aca="false">(J223-J221)*100/J221</f>
        <v>43.9722042663219</v>
      </c>
      <c r="K255" s="9"/>
      <c r="L255" s="9"/>
      <c r="M255" s="9"/>
      <c r="N255" s="9"/>
      <c r="O255" s="9"/>
    </row>
    <row r="256" customFormat="false" ht="13" hidden="false" customHeight="false" outlineLevel="0" collapsed="false">
      <c r="A256" s="11"/>
      <c r="C256" s="11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</row>
    <row r="257" customFormat="false" ht="13" hidden="false" customHeight="false" outlineLevel="0" collapsed="false">
      <c r="A257" s="11"/>
      <c r="C257" s="11" t="s">
        <v>95</v>
      </c>
      <c r="D257" s="9" t="n">
        <f aca="false">(D227-D225)*100/D225</f>
        <v>69.3712829226848</v>
      </c>
      <c r="E257" s="9" t="n">
        <f aca="false">(E227-E225)*100/E225</f>
        <v>86.231884057971</v>
      </c>
      <c r="F257" s="9" t="n">
        <f aca="false">(F227-F225)*100/F225</f>
        <v>33.3333333333333</v>
      </c>
      <c r="G257" s="9" t="n">
        <f aca="false">(G227-G225)*100/G225</f>
        <v>38.7133365742991</v>
      </c>
      <c r="H257" s="9" t="n">
        <f aca="false">(H227-H225)*100/H225</f>
        <v>98.3876329787234</v>
      </c>
      <c r="I257" s="9" t="n">
        <f aca="false">(I227-I225)*100/I225</f>
        <v>22.0299884659746</v>
      </c>
      <c r="J257" s="9" t="n">
        <f aca="false">(J227-J225)*100/J225</f>
        <v>15.1382596469302</v>
      </c>
      <c r="K257" s="9"/>
      <c r="L257" s="9"/>
      <c r="M257" s="9"/>
      <c r="N257" s="9"/>
      <c r="O257" s="9"/>
    </row>
    <row r="258" customFormat="false" ht="13" hidden="false" customHeight="false" outlineLevel="0" collapsed="false">
      <c r="A258" s="11"/>
      <c r="C258" s="11"/>
      <c r="J258" s="11"/>
    </row>
    <row r="259" customFormat="false" ht="13" hidden="false" customHeight="false" outlineLevel="0" collapsed="false">
      <c r="A259" s="11"/>
      <c r="C259" s="11" t="s">
        <v>96</v>
      </c>
      <c r="D259" s="9" t="n">
        <f aca="false">(D231-D229)*100/D229</f>
        <v>19.1218275436815</v>
      </c>
      <c r="E259" s="9" t="n">
        <f aca="false">(E231-E229)*100/E229</f>
        <v>27.3871677034228</v>
      </c>
      <c r="F259" s="9" t="n">
        <f aca="false">(F231-F229)*100/F229</f>
        <v>1.5003441963081</v>
      </c>
      <c r="G259" s="9" t="n">
        <f aca="false">(G231-G229)*100/G229</f>
        <v>1.56978991770631</v>
      </c>
      <c r="H259" s="9" t="n">
        <f aca="false">(H231-H229)*100/H229</f>
        <v>7.06396328340453</v>
      </c>
      <c r="I259" s="9" t="n">
        <f aca="false">(I231-I229)*100/I229</f>
        <v>18.1107048042705</v>
      </c>
      <c r="J259" s="9" t="n">
        <f aca="false">(J231-J229)*100/J229</f>
        <v>29.9470179249253</v>
      </c>
      <c r="K259" s="9"/>
    </row>
    <row r="260" customFormat="false" ht="13" hidden="false" customHeight="false" outlineLevel="0" collapsed="false">
      <c r="A260" s="11"/>
      <c r="C260" s="11" t="s">
        <v>97</v>
      </c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 customFormat="false" ht="13" hidden="false" customHeight="false" outlineLevel="0" collapsed="false">
      <c r="A261" s="11"/>
      <c r="J261" s="11"/>
      <c r="K261" s="9"/>
      <c r="L261" s="9"/>
      <c r="M261" s="9"/>
      <c r="N261" s="9"/>
      <c r="O261" s="9"/>
    </row>
    <row r="262" customFormat="false" ht="13" hidden="false" customHeight="false" outlineLevel="0" collapsed="false">
      <c r="A262" s="11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 customFormat="false" ht="13" hidden="false" customHeight="false" outlineLevel="0" collapsed="false">
      <c r="A263" s="11"/>
      <c r="C263" s="0" t="s">
        <v>113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</row>
    <row r="264" customFormat="false" ht="13" hidden="false" customHeight="false" outlineLevel="0" collapsed="false">
      <c r="A264" s="11"/>
      <c r="C264" s="0" t="s">
        <v>99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 customFormat="false" ht="13" hidden="false" customHeight="false" outlineLevel="0" collapsed="false">
      <c r="A265" s="11"/>
      <c r="C265" s="0" t="s">
        <v>106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</row>
    <row r="266" customFormat="false" ht="13" hidden="false" customHeight="false" outlineLevel="0" collapsed="false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9" customFormat="false" ht="13" hidden="false" customHeight="false" outlineLevel="0" collapsed="false">
      <c r="A269" s="18" t="s">
        <v>114</v>
      </c>
      <c r="B269" s="18"/>
      <c r="C269" s="18"/>
      <c r="F269" s="18"/>
      <c r="G269" s="18"/>
      <c r="H269" s="18"/>
      <c r="I269" s="18"/>
      <c r="J269" s="18"/>
      <c r="K269" s="18"/>
      <c r="L269" s="18"/>
      <c r="M269" s="18"/>
      <c r="N269" s="18"/>
    </row>
    <row r="270" customFormat="false" ht="13" hidden="false" customHeight="false" outlineLevel="0" collapsed="false">
      <c r="A270" s="18"/>
      <c r="B270" s="18" t="s">
        <v>115</v>
      </c>
      <c r="C270" s="18"/>
      <c r="F270" s="18"/>
      <c r="G270" s="18"/>
      <c r="H270" s="18"/>
      <c r="I270" s="18"/>
      <c r="J270" s="18"/>
      <c r="K270" s="18"/>
      <c r="L270" s="18"/>
      <c r="M270" s="18"/>
      <c r="N270" s="18"/>
    </row>
    <row r="271" customFormat="false" ht="13" hidden="false" customHeight="false" outlineLevel="0" collapsed="false">
      <c r="A271" s="18"/>
      <c r="B271" s="18"/>
      <c r="F271" s="18"/>
      <c r="G271" s="18"/>
      <c r="H271" s="18"/>
      <c r="I271" s="18"/>
      <c r="J271" s="18"/>
      <c r="K271" s="18"/>
      <c r="L271" s="18"/>
      <c r="M271" s="18"/>
      <c r="N271" s="18"/>
      <c r="O271" s="9"/>
    </row>
    <row r="272" customFormat="false" ht="13" hidden="false" customHeight="false" outlineLevel="0" collapsed="false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9"/>
    </row>
    <row r="273" customFormat="false" ht="13" hidden="false" customHeight="false" outlineLevel="0" collapsed="false">
      <c r="A273" s="18"/>
      <c r="B273" s="18"/>
      <c r="C273" s="18"/>
      <c r="D273" s="18"/>
      <c r="E273" s="18"/>
      <c r="F273" s="18" t="s">
        <v>116</v>
      </c>
      <c r="G273" s="18"/>
      <c r="H273" s="18"/>
      <c r="I273" s="18"/>
      <c r="J273" s="18"/>
      <c r="K273" s="18"/>
      <c r="L273" s="18"/>
      <c r="M273" s="18"/>
      <c r="N273" s="18"/>
      <c r="O273" s="9"/>
    </row>
    <row r="274" customFormat="false" ht="13" hidden="false" customHeight="false" outlineLevel="0" collapsed="false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9"/>
    </row>
    <row r="275" customFormat="false" ht="13" hidden="false" customHeight="false" outlineLevel="0" collapsed="false">
      <c r="A275" s="18" t="s">
        <v>117</v>
      </c>
      <c r="B275" s="18"/>
      <c r="C275" s="18" t="s">
        <v>118</v>
      </c>
      <c r="E275" s="18"/>
      <c r="F275" s="18" t="s">
        <v>119</v>
      </c>
      <c r="G275" s="18"/>
      <c r="H275" s="18"/>
      <c r="I275" s="18" t="s">
        <v>120</v>
      </c>
      <c r="J275" s="18"/>
      <c r="K275" s="18"/>
      <c r="L275" s="18" t="s">
        <v>121</v>
      </c>
      <c r="M275" s="18"/>
      <c r="N275" s="18"/>
      <c r="O275" s="9"/>
    </row>
    <row r="276" customFormat="false" ht="13" hidden="false" customHeight="false" outlineLevel="0" collapsed="false">
      <c r="A276" s="18"/>
      <c r="B276" s="18"/>
      <c r="C276" s="18"/>
      <c r="D276" s="18"/>
      <c r="E276" s="19" t="s">
        <v>122</v>
      </c>
      <c r="F276" s="18"/>
      <c r="G276" s="18"/>
      <c r="H276" s="19" t="s">
        <v>122</v>
      </c>
      <c r="I276" s="18"/>
      <c r="J276" s="18"/>
      <c r="K276" s="19" t="s">
        <v>122</v>
      </c>
      <c r="L276" s="18"/>
      <c r="M276" s="18"/>
      <c r="N276" s="19" t="s">
        <v>122</v>
      </c>
      <c r="O276" s="9"/>
    </row>
    <row r="277" customFormat="false" ht="13" hidden="false" customHeight="false" outlineLevel="0" collapsed="false">
      <c r="A277" s="18"/>
      <c r="B277" s="18"/>
      <c r="C277" s="19" t="s">
        <v>123</v>
      </c>
      <c r="D277" s="19" t="s">
        <v>124</v>
      </c>
      <c r="E277" s="19" t="s">
        <v>125</v>
      </c>
      <c r="F277" s="19" t="s">
        <v>123</v>
      </c>
      <c r="G277" s="19" t="s">
        <v>124</v>
      </c>
      <c r="H277" s="19" t="s">
        <v>125</v>
      </c>
      <c r="I277" s="19" t="s">
        <v>123</v>
      </c>
      <c r="J277" s="19" t="s">
        <v>124</v>
      </c>
      <c r="K277" s="19" t="s">
        <v>125</v>
      </c>
      <c r="L277" s="19" t="s">
        <v>123</v>
      </c>
      <c r="M277" s="19" t="s">
        <v>124</v>
      </c>
      <c r="N277" s="19" t="s">
        <v>125</v>
      </c>
      <c r="O277" s="9"/>
    </row>
    <row r="278" customFormat="false" ht="13" hidden="false" customHeight="false" outlineLevel="0" collapsed="false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</row>
    <row r="279" customFormat="false" ht="13" hidden="false" customHeight="false" outlineLevel="0" collapsed="false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9"/>
    </row>
    <row r="280" customFormat="false" ht="13" hidden="false" customHeight="false" outlineLevel="0" collapsed="false">
      <c r="A280" s="18" t="s">
        <v>126</v>
      </c>
      <c r="B280" s="18"/>
      <c r="C280" s="18" t="n">
        <v>235.4</v>
      </c>
      <c r="D280" s="18" t="n">
        <v>251.6</v>
      </c>
      <c r="E280" s="18" t="n">
        <f aca="false">((D280-C280)/C280)*100</f>
        <v>6.88190314358538</v>
      </c>
      <c r="F280" s="18" t="n">
        <v>32</v>
      </c>
      <c r="G280" s="18" t="n">
        <v>31.1</v>
      </c>
      <c r="H280" s="18" t="n">
        <f aca="false">((G280-F280)/F280)*100</f>
        <v>-2.8125</v>
      </c>
      <c r="I280" s="18" t="n">
        <v>14.4</v>
      </c>
      <c r="J280" s="18" t="n">
        <v>25.4</v>
      </c>
      <c r="K280" s="18" t="n">
        <f aca="false">((J280-I280)/I280)*100</f>
        <v>76.3888888888889</v>
      </c>
      <c r="L280" s="18" t="n">
        <f aca="false">C280+F280+I280</f>
        <v>281.8</v>
      </c>
      <c r="M280" s="18" t="n">
        <f aca="false">D280+G280+J280</f>
        <v>308.1</v>
      </c>
      <c r="N280" s="18" t="n">
        <f aca="false">((M280-L280)/L280)*100</f>
        <v>9.33286018452804</v>
      </c>
      <c r="O280" s="9"/>
    </row>
    <row r="281" customFormat="false" ht="13" hidden="false" customHeight="false" outlineLevel="0" collapsed="false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9"/>
    </row>
    <row r="282" customFormat="false" ht="13" hidden="false" customHeight="false" outlineLevel="0" collapsed="false">
      <c r="A282" s="18" t="s">
        <v>127</v>
      </c>
      <c r="B282" s="18"/>
      <c r="C282" s="18" t="n">
        <v>122.1</v>
      </c>
      <c r="D282" s="18" t="n">
        <v>125.7</v>
      </c>
      <c r="E282" s="18" t="n">
        <f aca="false">((D282-C282)/C282)*100</f>
        <v>2.94840294840296</v>
      </c>
      <c r="F282" s="18" t="n">
        <v>58.3</v>
      </c>
      <c r="G282" s="18" t="n">
        <v>91</v>
      </c>
      <c r="H282" s="18" t="n">
        <f aca="false">((G282-F282)/F282)*100</f>
        <v>56.0891938250429</v>
      </c>
      <c r="I282" s="18" t="n">
        <v>29.7</v>
      </c>
      <c r="J282" s="18" t="n">
        <v>57.4</v>
      </c>
      <c r="K282" s="18" t="n">
        <f aca="false">((J282-I282)/I282)*100</f>
        <v>93.2659932659933</v>
      </c>
      <c r="L282" s="18" t="n">
        <f aca="false">C282+F282+I282</f>
        <v>210.1</v>
      </c>
      <c r="M282" s="18" t="n">
        <f aca="false">D282+G282+J282</f>
        <v>274.1</v>
      </c>
      <c r="N282" s="18" t="n">
        <f aca="false">((M282-L282)/L282)*100</f>
        <v>30.4616849119467</v>
      </c>
      <c r="O282" s="9"/>
    </row>
    <row r="283" customFormat="false" ht="13" hidden="false" customHeight="false" outlineLevel="0" collapsed="false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9"/>
    </row>
    <row r="284" customFormat="false" ht="13" hidden="false" customHeight="false" outlineLevel="0" collapsed="false">
      <c r="A284" s="18" t="s">
        <v>128</v>
      </c>
      <c r="B284" s="18"/>
      <c r="C284" s="18" t="n">
        <v>85.9</v>
      </c>
      <c r="D284" s="18" t="n">
        <v>192.1</v>
      </c>
      <c r="E284" s="18" t="n">
        <f aca="false">((D284-C284)/C284)*100</f>
        <v>123.632130384168</v>
      </c>
      <c r="F284" s="18" t="n">
        <v>40.9</v>
      </c>
      <c r="G284" s="18" t="n">
        <v>106.4</v>
      </c>
      <c r="H284" s="18" t="n">
        <f aca="false">((G284-F284)/F284)*100</f>
        <v>160.146699266504</v>
      </c>
      <c r="I284" s="18" t="n">
        <v>73.6</v>
      </c>
      <c r="J284" s="18" t="n">
        <v>342.1</v>
      </c>
      <c r="K284" s="18" t="n">
        <f aca="false">((J284-I284)/I284)*100</f>
        <v>364.809782608696</v>
      </c>
      <c r="L284" s="18" t="n">
        <f aca="false">C284+F284+I284</f>
        <v>200.4</v>
      </c>
      <c r="M284" s="18" t="n">
        <f aca="false">D284+G284+J284</f>
        <v>640.6</v>
      </c>
      <c r="N284" s="18" t="n">
        <f aca="false">((M284-L284)/L284)*100</f>
        <v>219.660678642715</v>
      </c>
      <c r="O284" s="9"/>
    </row>
    <row r="285" customFormat="false" ht="13" hidden="false" customHeight="false" outlineLevel="0" collapsed="false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</row>
    <row r="286" customFormat="false" ht="13" hidden="false" customHeight="false" outlineLevel="0" collapsed="false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9"/>
    </row>
    <row r="287" customFormat="false" ht="13" hidden="false" customHeight="false" outlineLevel="0" collapsed="false">
      <c r="A287" s="18" t="s">
        <v>129</v>
      </c>
      <c r="B287" s="18"/>
      <c r="C287" s="18" t="n">
        <f aca="false">SUM(C280:C285)</f>
        <v>443.4</v>
      </c>
      <c r="D287" s="18" t="n">
        <f aca="false">SUM(D280:D285)</f>
        <v>569.4</v>
      </c>
      <c r="E287" s="18" t="n">
        <f aca="false">((D287-C287)/C287)*100</f>
        <v>28.4167794316644</v>
      </c>
      <c r="F287" s="18" t="n">
        <f aca="false">SUM(F280:F285)</f>
        <v>131.2</v>
      </c>
      <c r="G287" s="18" t="n">
        <f aca="false">SUM(G280:G285)</f>
        <v>228.5</v>
      </c>
      <c r="H287" s="18" t="n">
        <f aca="false">((G287-F287)/F287)*100</f>
        <v>74.1615853658537</v>
      </c>
      <c r="I287" s="18" t="n">
        <f aca="false">SUM(I280:I285)</f>
        <v>117.7</v>
      </c>
      <c r="J287" s="18" t="n">
        <f aca="false">SUM(J280:J285)</f>
        <v>424.9</v>
      </c>
      <c r="K287" s="18" t="n">
        <f aca="false">((J287-I287)/I287)*100</f>
        <v>261.002548853016</v>
      </c>
      <c r="L287" s="18" t="n">
        <f aca="false">SUM(L280:L285)</f>
        <v>692.3</v>
      </c>
      <c r="M287" s="18" t="n">
        <f aca="false">SUM(M280:M285)</f>
        <v>1222.8</v>
      </c>
      <c r="N287" s="18" t="n">
        <f aca="false">((M287-L287)/L287)*100</f>
        <v>76.6286292069912</v>
      </c>
      <c r="O287" s="9"/>
    </row>
    <row r="288" customFormat="false" ht="13" hidden="false" customHeight="false" outlineLevel="0" collapsed="false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</row>
    <row r="289" customFormat="false" ht="13" hidden="false" customHeight="false" outlineLevel="0" collapsed="false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</row>
    <row r="290" customFormat="false" ht="13" hidden="false" customHeight="false" outlineLevel="0" collapsed="false">
      <c r="A290" s="18" t="s">
        <v>130</v>
      </c>
      <c r="B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</row>
    <row r="291" customFormat="false" ht="13" hidden="false" customHeight="false" outlineLevel="0" collapsed="false">
      <c r="A291" s="18" t="s">
        <v>131</v>
      </c>
      <c r="B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</row>
    <row r="292" customFormat="false" ht="13" hidden="false" customHeight="false" outlineLevel="0" collapsed="false">
      <c r="B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</row>
    <row r="294" customFormat="false" ht="13" hidden="false" customHeight="false" outlineLevel="0" collapsed="false">
      <c r="A294" s="9" t="s">
        <v>132</v>
      </c>
      <c r="B294" s="9"/>
      <c r="C294" s="9"/>
      <c r="F294" s="9"/>
      <c r="G294" s="9"/>
      <c r="H294" s="9"/>
      <c r="I294" s="9"/>
      <c r="J294" s="9"/>
      <c r="K294" s="9"/>
      <c r="L294" s="9"/>
      <c r="M294" s="9"/>
      <c r="N294" s="9"/>
    </row>
    <row r="295" customFormat="false" ht="13" hidden="false" customHeight="false" outlineLevel="0" collapsed="false">
      <c r="A295" s="9"/>
      <c r="B295" s="9" t="s">
        <v>133</v>
      </c>
      <c r="C295" s="9"/>
      <c r="F295" s="9"/>
      <c r="G295" s="9"/>
      <c r="H295" s="9"/>
      <c r="I295" s="9"/>
      <c r="J295" s="9"/>
      <c r="K295" s="9"/>
      <c r="L295" s="9"/>
      <c r="M295" s="9"/>
      <c r="N295" s="9"/>
    </row>
    <row r="296" customFormat="false" ht="13" hidden="false" customHeight="false" outlineLevel="0" collapsed="false">
      <c r="A296" s="9"/>
      <c r="B296" s="9"/>
      <c r="F296" s="9"/>
      <c r="G296" s="9"/>
      <c r="H296" s="9"/>
      <c r="I296" s="9"/>
      <c r="J296" s="9"/>
      <c r="K296" s="9"/>
      <c r="L296" s="9"/>
      <c r="M296" s="9"/>
      <c r="N296" s="9"/>
      <c r="O296" s="9"/>
    </row>
    <row r="297" customFormat="false" ht="13" hidden="false" customHeight="fals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</row>
    <row r="298" customFormat="false" ht="13" hidden="false" customHeight="false" outlineLevel="0" collapsed="false">
      <c r="A298" s="9"/>
      <c r="B298" s="9"/>
      <c r="C298" s="9"/>
      <c r="D298" s="9"/>
      <c r="E298" s="9"/>
      <c r="F298" s="9" t="s">
        <v>116</v>
      </c>
      <c r="G298" s="9"/>
      <c r="H298" s="9"/>
      <c r="I298" s="9"/>
      <c r="J298" s="9"/>
      <c r="K298" s="9"/>
      <c r="L298" s="9"/>
      <c r="M298" s="9"/>
      <c r="N298" s="9"/>
      <c r="O298" s="9"/>
    </row>
    <row r="299" customFormat="false" ht="13" hidden="false" customHeight="fals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</row>
    <row r="300" customFormat="false" ht="13" hidden="false" customHeight="false" outlineLevel="0" collapsed="false">
      <c r="A300" s="9" t="s">
        <v>117</v>
      </c>
      <c r="B300" s="9"/>
      <c r="C300" s="9" t="s">
        <v>134</v>
      </c>
      <c r="E300" s="9"/>
      <c r="F300" s="9" t="s">
        <v>135</v>
      </c>
      <c r="G300" s="9"/>
      <c r="H300" s="9"/>
      <c r="I300" s="9" t="s">
        <v>120</v>
      </c>
      <c r="J300" s="9"/>
      <c r="K300" s="9"/>
      <c r="L300" s="9" t="s">
        <v>136</v>
      </c>
      <c r="M300" s="9"/>
      <c r="N300" s="9"/>
      <c r="O300" s="9"/>
    </row>
    <row r="301" customFormat="false" ht="13" hidden="false" customHeight="false" outlineLevel="0" collapsed="false">
      <c r="A301" s="9"/>
      <c r="B301" s="9"/>
      <c r="C301" s="9"/>
      <c r="D301" s="9"/>
      <c r="E301" s="16" t="s">
        <v>122</v>
      </c>
      <c r="F301" s="9"/>
      <c r="G301" s="9"/>
      <c r="H301" s="16" t="s">
        <v>122</v>
      </c>
      <c r="I301" s="9"/>
      <c r="J301" s="9"/>
      <c r="K301" s="16" t="s">
        <v>122</v>
      </c>
      <c r="L301" s="9"/>
      <c r="M301" s="9"/>
      <c r="N301" s="16" t="s">
        <v>122</v>
      </c>
      <c r="O301" s="9"/>
    </row>
    <row r="302" customFormat="false" ht="13" hidden="false" customHeight="false" outlineLevel="0" collapsed="false">
      <c r="A302" s="9"/>
      <c r="B302" s="9"/>
      <c r="C302" s="16" t="s">
        <v>123</v>
      </c>
      <c r="D302" s="16" t="s">
        <v>124</v>
      </c>
      <c r="E302" s="16" t="s">
        <v>125</v>
      </c>
      <c r="F302" s="16" t="s">
        <v>123</v>
      </c>
      <c r="G302" s="16" t="s">
        <v>124</v>
      </c>
      <c r="H302" s="16" t="s">
        <v>125</v>
      </c>
      <c r="I302" s="16" t="s">
        <v>123</v>
      </c>
      <c r="J302" s="16" t="s">
        <v>124</v>
      </c>
      <c r="K302" s="16" t="s">
        <v>125</v>
      </c>
      <c r="L302" s="16" t="s">
        <v>123</v>
      </c>
      <c r="M302" s="16" t="s">
        <v>124</v>
      </c>
      <c r="N302" s="16" t="s">
        <v>125</v>
      </c>
      <c r="O302" s="9"/>
    </row>
    <row r="303" customFormat="false" ht="13" hidden="false" customHeight="fals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</row>
    <row r="304" customFormat="false" ht="13" hidden="false" customHeight="fals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</row>
    <row r="305" customFormat="false" ht="13" hidden="false" customHeight="false" outlineLevel="0" collapsed="false">
      <c r="A305" s="9" t="s">
        <v>126</v>
      </c>
      <c r="B305" s="9"/>
      <c r="C305" s="9" t="n">
        <v>31.2</v>
      </c>
      <c r="D305" s="9" t="n">
        <v>30.5</v>
      </c>
      <c r="E305" s="9" t="n">
        <f aca="false">((D305-C305)/C305)*100</f>
        <v>-2.24358974358974</v>
      </c>
      <c r="F305" s="9" t="n">
        <v>36.6</v>
      </c>
      <c r="G305" s="9" t="n">
        <v>28.9</v>
      </c>
      <c r="H305" s="9" t="n">
        <f aca="false">((G305-F305)/F305)*100</f>
        <v>-21.0382513661202</v>
      </c>
      <c r="I305" s="9" t="n">
        <v>45.3</v>
      </c>
      <c r="J305" s="9" t="n">
        <v>36</v>
      </c>
      <c r="K305" s="9" t="n">
        <f aca="false">((J305-I305)/I305)*100</f>
        <v>-20.5298013245033</v>
      </c>
      <c r="L305" s="9" t="n">
        <v>32.2</v>
      </c>
      <c r="M305" s="9" t="n">
        <v>30.5</v>
      </c>
      <c r="N305" s="9" t="n">
        <f aca="false">((M305-L305)/L305)*100</f>
        <v>-5.27950310559007</v>
      </c>
      <c r="O305" s="9"/>
    </row>
    <row r="306" customFormat="false" ht="13" hidden="false" customHeight="fals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</row>
    <row r="307" customFormat="false" ht="13" hidden="false" customHeight="false" outlineLevel="0" collapsed="false">
      <c r="A307" s="9" t="s">
        <v>127</v>
      </c>
      <c r="B307" s="9"/>
      <c r="C307" s="9" t="n">
        <v>37.3</v>
      </c>
      <c r="D307" s="9" t="n">
        <v>35</v>
      </c>
      <c r="E307" s="9" t="n">
        <f aca="false">((D307-C307)/C307)*100</f>
        <v>-6.16621983914208</v>
      </c>
      <c r="F307" s="9" t="n">
        <v>20.4</v>
      </c>
      <c r="G307" s="9" t="n">
        <v>22.8</v>
      </c>
      <c r="H307" s="9" t="n">
        <f aca="false">((G307-F307)/F307)*100</f>
        <v>11.764705882353</v>
      </c>
      <c r="I307" s="9" t="n">
        <v>27</v>
      </c>
      <c r="J307" s="9" t="n">
        <v>32.3</v>
      </c>
      <c r="K307" s="9" t="n">
        <f aca="false">((J307-I307)/I307)*100</f>
        <v>19.6296296296296</v>
      </c>
      <c r="L307" s="9" t="n">
        <v>31.1</v>
      </c>
      <c r="M307" s="9" t="n">
        <v>30.4</v>
      </c>
      <c r="N307" s="9" t="n">
        <f aca="false">((M307-L307)/L307)*100</f>
        <v>-2.25080385852091</v>
      </c>
      <c r="O307" s="9"/>
    </row>
    <row r="308" customFormat="false" ht="13" hidden="false" customHeight="fals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</row>
    <row r="309" customFormat="false" ht="13" hidden="false" customHeight="false" outlineLevel="0" collapsed="false">
      <c r="A309" s="9" t="s">
        <v>128</v>
      </c>
      <c r="B309" s="9"/>
      <c r="C309" s="9" t="n">
        <v>45.2</v>
      </c>
      <c r="D309" s="9" t="n">
        <v>47.7</v>
      </c>
      <c r="E309" s="9" t="n">
        <f aca="false">((D309-C309)/C309)*100</f>
        <v>5.53097345132743</v>
      </c>
      <c r="F309" s="9" t="n">
        <v>29.4</v>
      </c>
      <c r="G309" s="9" t="n">
        <v>38.3</v>
      </c>
      <c r="H309" s="9" t="n">
        <f aca="false">((G309-F309)/F309)*100</f>
        <v>30.2721088435374</v>
      </c>
      <c r="I309" s="9" t="n">
        <v>20.6</v>
      </c>
      <c r="J309" s="9" t="n">
        <v>25.6</v>
      </c>
      <c r="K309" s="9" t="n">
        <f aca="false">((J309-I309)/I309)*100</f>
        <v>24.2718446601942</v>
      </c>
      <c r="L309" s="9" t="n">
        <v>33</v>
      </c>
      <c r="M309" s="9" t="n">
        <v>34.3</v>
      </c>
      <c r="N309" s="9" t="n">
        <f aca="false">((M309-L309)/L309)*100</f>
        <v>3.93939393939393</v>
      </c>
      <c r="O309" s="9"/>
    </row>
    <row r="310" customFormat="false" ht="13" hidden="false" customHeight="fals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</row>
    <row r="311" customFormat="false" ht="13" hidden="false" customHeight="fals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</row>
    <row r="312" customFormat="false" ht="13" hidden="false" customHeight="false" outlineLevel="0" collapsed="false">
      <c r="A312" s="9" t="s">
        <v>130</v>
      </c>
      <c r="B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</row>
    <row r="313" customFormat="false" ht="13" hidden="false" customHeight="false" outlineLevel="0" collapsed="false">
      <c r="A313" s="9" t="s">
        <v>137</v>
      </c>
      <c r="B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</row>
    <row r="314" customFormat="false" ht="13" hidden="false" customHeight="false" outlineLevel="0" collapsed="false">
      <c r="B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</row>
    <row r="343" customFormat="false" ht="13" hidden="false" customHeight="false" outlineLevel="0" collapsed="false">
      <c r="C343" s="11" t="s">
        <v>138</v>
      </c>
      <c r="D343" s="11" t="s">
        <v>139</v>
      </c>
    </row>
    <row r="344" customFormat="false" ht="13" hidden="false" customHeight="false" outlineLevel="0" collapsed="false">
      <c r="C344" s="11"/>
      <c r="D344" s="11" t="s">
        <v>140</v>
      </c>
    </row>
    <row r="345" customFormat="false" ht="13" hidden="false" customHeight="false" outlineLevel="0" collapsed="false">
      <c r="C345" s="11"/>
      <c r="D345" s="11" t="s">
        <v>141</v>
      </c>
    </row>
    <row r="348" customFormat="false" ht="13" hidden="false" customHeight="false" outlineLevel="0" collapsed="false">
      <c r="C348" s="11"/>
      <c r="D348" s="11"/>
      <c r="E348" s="11"/>
      <c r="F348" s="11" t="s">
        <v>142</v>
      </c>
      <c r="G348" s="11"/>
      <c r="H348" s="11"/>
      <c r="I348" s="11"/>
    </row>
    <row r="349" customFormat="false" ht="13" hidden="false" customHeight="false" outlineLevel="0" collapsed="false">
      <c r="D349" s="10" t="s">
        <v>105</v>
      </c>
      <c r="E349" s="10" t="s">
        <v>83</v>
      </c>
      <c r="F349" s="10" t="s">
        <v>105</v>
      </c>
      <c r="G349" s="10" t="s">
        <v>86</v>
      </c>
      <c r="H349" s="10" t="s">
        <v>83</v>
      </c>
      <c r="I349" s="10" t="s">
        <v>86</v>
      </c>
      <c r="J349" s="10" t="s">
        <v>86</v>
      </c>
    </row>
    <row r="350" customFormat="false" ht="13" hidden="false" customHeight="false" outlineLevel="0" collapsed="false">
      <c r="C350" s="11" t="s">
        <v>143</v>
      </c>
      <c r="D350" s="10" t="s">
        <v>87</v>
      </c>
      <c r="E350" s="10" t="s">
        <v>88</v>
      </c>
      <c r="F350" s="10" t="s">
        <v>89</v>
      </c>
      <c r="G350" s="10" t="s">
        <v>88</v>
      </c>
      <c r="H350" s="10" t="s">
        <v>89</v>
      </c>
      <c r="I350" s="10" t="s">
        <v>87</v>
      </c>
      <c r="J350" s="10" t="s">
        <v>89</v>
      </c>
    </row>
    <row r="351" customFormat="false" ht="13" hidden="false" customHeight="false" outlineLevel="0" collapsed="false">
      <c r="C351" s="0" t="s">
        <v>90</v>
      </c>
      <c r="D351" s="20" t="n">
        <v>0.371332777238787</v>
      </c>
      <c r="E351" s="20" t="n">
        <v>0</v>
      </c>
      <c r="F351" s="20" t="n">
        <v>4.15636648046537</v>
      </c>
      <c r="G351" s="20" t="n">
        <v>8.8063640810387</v>
      </c>
      <c r="H351" s="20" t="n">
        <v>1.23760663344816</v>
      </c>
      <c r="I351" s="20" t="n">
        <v>1.82242932675169</v>
      </c>
      <c r="J351" s="20" t="n">
        <v>0.158319205276504</v>
      </c>
    </row>
    <row r="352" customFormat="false" ht="13" hidden="false" customHeight="false" outlineLevel="0" collapsed="false">
      <c r="D352" s="8" t="s">
        <v>144</v>
      </c>
      <c r="E352" s="8" t="s">
        <v>144</v>
      </c>
      <c r="F352" s="8"/>
      <c r="G352" s="8" t="s">
        <v>24</v>
      </c>
      <c r="H352" s="8" t="s">
        <v>144</v>
      </c>
      <c r="I352" s="8" t="s">
        <v>144</v>
      </c>
      <c r="J352" s="21" t="s">
        <v>144</v>
      </c>
    </row>
    <row r="353" customFormat="false" ht="13" hidden="false" customHeight="false" outlineLevel="0" collapsed="false">
      <c r="J353" s="11"/>
    </row>
    <row r="354" customFormat="false" ht="13" hidden="false" customHeight="false" outlineLevel="0" collapsed="false">
      <c r="C354" s="0" t="s">
        <v>93</v>
      </c>
      <c r="D354" s="20" t="n">
        <v>0.507355998169177</v>
      </c>
      <c r="E354" s="20" t="n">
        <v>1.96583594351095</v>
      </c>
      <c r="F354" s="20" t="n">
        <v>2.40744995892854</v>
      </c>
      <c r="G354" s="20" t="n">
        <v>1.13899897527584</v>
      </c>
      <c r="H354" s="20" t="n">
        <v>0.60730307873688</v>
      </c>
      <c r="I354" s="20" t="n">
        <v>3.66918331917583</v>
      </c>
      <c r="J354" s="20" t="n">
        <v>0.0888111419353261</v>
      </c>
    </row>
    <row r="355" customFormat="false" ht="13" hidden="false" customHeight="false" outlineLevel="0" collapsed="false">
      <c r="D355" s="8" t="s">
        <v>144</v>
      </c>
      <c r="E355" s="8"/>
      <c r="F355" s="8" t="s">
        <v>24</v>
      </c>
      <c r="G355" s="8" t="s">
        <v>144</v>
      </c>
      <c r="H355" s="8" t="s">
        <v>144</v>
      </c>
      <c r="I355" s="8" t="s">
        <v>24</v>
      </c>
      <c r="J355" s="21" t="s">
        <v>144</v>
      </c>
    </row>
    <row r="356" customFormat="false" ht="13" hidden="false" customHeight="false" outlineLevel="0" collapsed="false">
      <c r="J356" s="11"/>
    </row>
    <row r="357" customFormat="false" ht="13" hidden="false" customHeight="false" outlineLevel="0" collapsed="false">
      <c r="C357" s="0" t="s">
        <v>94</v>
      </c>
      <c r="D357" s="20" t="n">
        <v>1.50141491729922</v>
      </c>
      <c r="E357" s="20" t="n">
        <v>0.853382906044645</v>
      </c>
      <c r="F357" s="20" t="n">
        <v>0.944833481417542</v>
      </c>
      <c r="G357" s="20" t="n">
        <v>1.85980015803436</v>
      </c>
      <c r="H357" s="20" t="n">
        <v>0.306182746901113</v>
      </c>
      <c r="I357" s="20" t="n">
        <v>0.113459195395342</v>
      </c>
      <c r="J357" s="20" t="n">
        <v>2.62399064117291</v>
      </c>
    </row>
    <row r="358" customFormat="false" ht="13" hidden="false" customHeight="false" outlineLevel="0" collapsed="false">
      <c r="D358" s="8" t="s">
        <v>144</v>
      </c>
      <c r="E358" s="8" t="s">
        <v>144</v>
      </c>
      <c r="F358" s="8" t="s">
        <v>144</v>
      </c>
      <c r="G358" s="8" t="s">
        <v>144</v>
      </c>
      <c r="H358" s="8" t="s">
        <v>144</v>
      </c>
      <c r="I358" s="8" t="s">
        <v>144</v>
      </c>
      <c r="J358" s="21" t="s">
        <v>24</v>
      </c>
    </row>
    <row r="359" customFormat="false" ht="13" hidden="false" customHeight="false" outlineLevel="0" collapsed="false">
      <c r="J359" s="11"/>
    </row>
    <row r="360" customFormat="false" ht="13" hidden="false" customHeight="false" outlineLevel="0" collapsed="false">
      <c r="C360" s="0" t="s">
        <v>95</v>
      </c>
      <c r="D360" s="20" t="n">
        <v>0.28587467097619</v>
      </c>
      <c r="E360" s="20" t="n">
        <v>8.45401324650335</v>
      </c>
      <c r="F360" s="20" t="n">
        <v>1.91064255682378</v>
      </c>
      <c r="G360" s="20" t="n">
        <v>4.21901406150075</v>
      </c>
      <c r="H360" s="20" t="n">
        <v>0.446304303189305</v>
      </c>
      <c r="I360" s="20" t="n">
        <v>2.09131621381743</v>
      </c>
      <c r="J360" s="20" t="n">
        <v>0.195367133348983</v>
      </c>
    </row>
    <row r="361" customFormat="false" ht="13" hidden="false" customHeight="false" outlineLevel="0" collapsed="false">
      <c r="D361" s="8" t="s">
        <v>144</v>
      </c>
      <c r="E361" s="8"/>
      <c r="F361" s="8" t="s">
        <v>144</v>
      </c>
      <c r="G361" s="8" t="s">
        <v>24</v>
      </c>
      <c r="H361" s="8" t="s">
        <v>144</v>
      </c>
      <c r="I361" s="8" t="s">
        <v>24</v>
      </c>
      <c r="J361" s="21" t="s">
        <v>144</v>
      </c>
    </row>
    <row r="362" customFormat="false" ht="13" hidden="false" customHeight="false" outlineLevel="0" collapsed="false">
      <c r="C362" s="11"/>
      <c r="D362" s="11"/>
      <c r="E362" s="11"/>
      <c r="F362" s="11"/>
      <c r="G362" s="11"/>
      <c r="H362" s="11"/>
      <c r="I362" s="11"/>
      <c r="J362" s="11"/>
    </row>
    <row r="363" customFormat="false" ht="13" hidden="false" customHeight="false" outlineLevel="0" collapsed="false">
      <c r="D363" s="0" t="s">
        <v>145</v>
      </c>
    </row>
    <row r="367" customFormat="false" ht="13" hidden="false" customHeight="false" outlineLevel="0" collapsed="false">
      <c r="B367" s="0" t="s">
        <v>146</v>
      </c>
      <c r="C367" s="0" t="n">
        <v>13</v>
      </c>
    </row>
    <row r="368" customFormat="false" ht="13" hidden="false" customHeight="false" outlineLevel="0" collapsed="false">
      <c r="B368" s="0" t="s">
        <v>147</v>
      </c>
      <c r="C368" s="0" t="n">
        <v>43</v>
      </c>
    </row>
    <row r="369" customFormat="false" ht="13" hidden="false" customHeight="false" outlineLevel="0" collapsed="false">
      <c r="B369" s="0" t="s">
        <v>148</v>
      </c>
      <c r="C369" s="0" t="n">
        <v>78</v>
      </c>
    </row>
    <row r="370" customFormat="false" ht="13" hidden="false" customHeight="false" outlineLevel="0" collapsed="false">
      <c r="B370" s="0" t="s">
        <v>149</v>
      </c>
      <c r="C370" s="0" t="n">
        <v>118</v>
      </c>
    </row>
    <row r="371" customFormat="false" ht="13" hidden="false" customHeight="false" outlineLevel="0" collapsed="false">
      <c r="B371" s="0" t="s">
        <v>150</v>
      </c>
      <c r="C371" s="0" t="n">
        <v>133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9" activeCellId="0" sqref="A5:M19"/>
    </sheetView>
  </sheetViews>
  <sheetFormatPr defaultColWidth="9.828125" defaultRowHeight="13" customHeight="false" zeroHeight="false" outlineLevelRow="0" outlineLevelCol="0"/>
  <cols>
    <col collapsed="false" customWidth="true" hidden="false" outlineLevel="0" max="1" min="1" style="0" width="14.83"/>
    <col collapsed="false" customWidth="true" hidden="false" outlineLevel="0" max="3" min="2" style="0" width="5.83"/>
    <col collapsed="false" customWidth="true" hidden="false" outlineLevel="0" max="13" min="4" style="0" width="6.83"/>
  </cols>
  <sheetData>
    <row r="1" customFormat="false" ht="13" hidden="false" customHeight="false" outlineLevel="0" collapsed="false">
      <c r="A1" s="18" t="s">
        <v>114</v>
      </c>
      <c r="B1" s="18"/>
      <c r="C1" s="11"/>
      <c r="D1" s="11"/>
      <c r="E1" s="18"/>
      <c r="F1" s="18"/>
      <c r="G1" s="18"/>
      <c r="H1" s="18"/>
      <c r="I1" s="18"/>
      <c r="J1" s="18"/>
      <c r="K1" s="18"/>
      <c r="L1" s="18"/>
      <c r="M1" s="18"/>
    </row>
    <row r="2" customFormat="false" ht="13" hidden="false" customHeight="false" outlineLevel="0" collapsed="false">
      <c r="A2" s="18"/>
      <c r="B2" s="18"/>
      <c r="C2" s="11"/>
      <c r="D2" s="11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13" hidden="false" customHeight="false" outlineLevel="0" collapsed="false">
      <c r="A3" s="18"/>
      <c r="B3" s="11"/>
      <c r="C3" s="11"/>
      <c r="D3" s="11"/>
      <c r="E3" s="18"/>
      <c r="F3" s="18"/>
      <c r="G3" s="18"/>
      <c r="H3" s="18"/>
      <c r="I3" s="18"/>
      <c r="J3" s="18"/>
      <c r="K3" s="18"/>
      <c r="L3" s="18"/>
      <c r="M3" s="18"/>
    </row>
    <row r="4" customFormat="false" ht="13" hidden="false" customHeight="false" outlineLevel="0" collapsed="false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customFormat="false" ht="13" hidden="false" customHeight="false" outlineLevel="0" collapsed="false">
      <c r="A5" s="18"/>
      <c r="B5" s="18"/>
      <c r="C5" s="18"/>
      <c r="D5" s="18"/>
      <c r="E5" s="18" t="s">
        <v>116</v>
      </c>
      <c r="F5" s="18"/>
      <c r="G5" s="18"/>
      <c r="H5" s="18"/>
      <c r="I5" s="18"/>
      <c r="J5" s="18"/>
      <c r="K5" s="18"/>
      <c r="L5" s="18"/>
      <c r="M5" s="18"/>
    </row>
    <row r="6" customFormat="false" ht="13" hidden="false" customHeight="fals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customFormat="false" ht="13" hidden="false" customHeight="false" outlineLevel="0" collapsed="false">
      <c r="A7" s="18" t="s">
        <v>117</v>
      </c>
      <c r="B7" s="18" t="s">
        <v>118</v>
      </c>
      <c r="C7" s="11"/>
      <c r="D7" s="18"/>
      <c r="E7" s="18" t="s">
        <v>119</v>
      </c>
      <c r="F7" s="18"/>
      <c r="G7" s="18"/>
      <c r="H7" s="18" t="s">
        <v>120</v>
      </c>
      <c r="I7" s="18"/>
      <c r="J7" s="18"/>
      <c r="K7" s="18" t="s">
        <v>121</v>
      </c>
      <c r="L7" s="18"/>
      <c r="M7" s="18"/>
    </row>
    <row r="8" customFormat="false" ht="13" hidden="false" customHeight="false" outlineLevel="0" collapsed="false">
      <c r="A8" s="18"/>
      <c r="B8" s="18"/>
      <c r="C8" s="18"/>
      <c r="D8" s="19" t="s">
        <v>122</v>
      </c>
      <c r="E8" s="18"/>
      <c r="F8" s="18"/>
      <c r="G8" s="19" t="s">
        <v>122</v>
      </c>
      <c r="H8" s="18"/>
      <c r="I8" s="18"/>
      <c r="J8" s="19" t="s">
        <v>122</v>
      </c>
      <c r="K8" s="18"/>
      <c r="L8" s="18"/>
      <c r="M8" s="19" t="s">
        <v>122</v>
      </c>
    </row>
    <row r="9" customFormat="false" ht="13" hidden="false" customHeight="false" outlineLevel="0" collapsed="false">
      <c r="A9" s="18"/>
      <c r="B9" s="19" t="s">
        <v>123</v>
      </c>
      <c r="C9" s="19" t="s">
        <v>124</v>
      </c>
      <c r="D9" s="19" t="s">
        <v>125</v>
      </c>
      <c r="E9" s="19" t="s">
        <v>123</v>
      </c>
      <c r="F9" s="19" t="s">
        <v>124</v>
      </c>
      <c r="G9" s="19" t="s">
        <v>125</v>
      </c>
      <c r="H9" s="19" t="s">
        <v>123</v>
      </c>
      <c r="I9" s="19" t="s">
        <v>124</v>
      </c>
      <c r="J9" s="19" t="s">
        <v>125</v>
      </c>
      <c r="K9" s="19" t="s">
        <v>123</v>
      </c>
      <c r="L9" s="19" t="s">
        <v>124</v>
      </c>
      <c r="M9" s="19" t="s">
        <v>125</v>
      </c>
    </row>
    <row r="10" customFormat="false" ht="13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customFormat="false" ht="13" hidden="false" customHeight="fals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customFormat="false" ht="13" hidden="false" customHeight="false" outlineLevel="0" collapsed="false">
      <c r="A12" s="18" t="s">
        <v>126</v>
      </c>
      <c r="B12" s="18" t="n">
        <v>235.4</v>
      </c>
      <c r="C12" s="18" t="n">
        <v>251.6</v>
      </c>
      <c r="D12" s="18" t="n">
        <f aca="false">((C12-B12)/B12)*100</f>
        <v>6.88190314358538</v>
      </c>
      <c r="E12" s="18" t="n">
        <v>32</v>
      </c>
      <c r="F12" s="18" t="n">
        <v>31.1</v>
      </c>
      <c r="G12" s="18" t="n">
        <f aca="false">((F12-E12)/E12)*100</f>
        <v>-2.8125</v>
      </c>
      <c r="H12" s="18" t="n">
        <v>14.4</v>
      </c>
      <c r="I12" s="18" t="n">
        <v>25.4</v>
      </c>
      <c r="J12" s="18" t="n">
        <f aca="false">((I12-H12)/H12)*100</f>
        <v>76.3888888888889</v>
      </c>
      <c r="K12" s="18" t="n">
        <f aca="false">B12+E12+H12</f>
        <v>281.8</v>
      </c>
      <c r="L12" s="18" t="n">
        <f aca="false">C12+F12+I12</f>
        <v>308.1</v>
      </c>
      <c r="M12" s="18" t="n">
        <f aca="false">((L12-K12)/K12)*100</f>
        <v>9.33286018452804</v>
      </c>
    </row>
    <row r="13" customFormat="false" ht="13" hidden="false" customHeight="fals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customFormat="false" ht="13" hidden="false" customHeight="false" outlineLevel="0" collapsed="false">
      <c r="A14" s="18" t="s">
        <v>127</v>
      </c>
      <c r="B14" s="18" t="n">
        <v>122.1</v>
      </c>
      <c r="C14" s="18" t="n">
        <v>125.7</v>
      </c>
      <c r="D14" s="18" t="n">
        <f aca="false">((C14-B14)/B14)*100</f>
        <v>2.94840294840296</v>
      </c>
      <c r="E14" s="18" t="n">
        <v>58.3</v>
      </c>
      <c r="F14" s="18" t="n">
        <v>91</v>
      </c>
      <c r="G14" s="18" t="n">
        <f aca="false">((F14-E14)/E14)*100</f>
        <v>56.0891938250429</v>
      </c>
      <c r="H14" s="18" t="n">
        <v>29.7</v>
      </c>
      <c r="I14" s="18" t="n">
        <v>57.4</v>
      </c>
      <c r="J14" s="18" t="n">
        <f aca="false">((I14-H14)/H14)*100</f>
        <v>93.2659932659933</v>
      </c>
      <c r="K14" s="18" t="n">
        <f aca="false">B14+E14+H14</f>
        <v>210.1</v>
      </c>
      <c r="L14" s="18" t="n">
        <f aca="false">C14+F14+I14</f>
        <v>274.1</v>
      </c>
      <c r="M14" s="18" t="n">
        <f aca="false">((L14-K14)/K14)*100</f>
        <v>30.4616849119467</v>
      </c>
    </row>
    <row r="15" customFormat="false" ht="13" hidden="false" customHeight="fals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customFormat="false" ht="13" hidden="false" customHeight="false" outlineLevel="0" collapsed="false">
      <c r="A16" s="18" t="s">
        <v>128</v>
      </c>
      <c r="B16" s="18" t="n">
        <v>85.9</v>
      </c>
      <c r="C16" s="18" t="n">
        <v>192.1</v>
      </c>
      <c r="D16" s="18" t="n">
        <f aca="false">((C16-B16)/B16)*100</f>
        <v>123.632130384168</v>
      </c>
      <c r="E16" s="18" t="n">
        <v>40.9</v>
      </c>
      <c r="F16" s="18" t="n">
        <v>106.4</v>
      </c>
      <c r="G16" s="18" t="n">
        <f aca="false">((F16-E16)/E16)*100</f>
        <v>160.146699266504</v>
      </c>
      <c r="H16" s="18" t="n">
        <v>73.6</v>
      </c>
      <c r="I16" s="18" t="n">
        <v>342.1</v>
      </c>
      <c r="J16" s="18" t="n">
        <f aca="false">((I16-H16)/H16)*100</f>
        <v>364.809782608696</v>
      </c>
      <c r="K16" s="18" t="n">
        <f aca="false">B16+E16+H16</f>
        <v>200.4</v>
      </c>
      <c r="L16" s="18" t="n">
        <f aca="false">C16+F16+I16</f>
        <v>640.6</v>
      </c>
      <c r="M16" s="18" t="n">
        <f aca="false">((L16-K16)/K16)*100</f>
        <v>219.660678642715</v>
      </c>
    </row>
    <row r="17" customFormat="false" ht="13" hidden="false" customHeight="fals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customFormat="false" ht="13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customFormat="false" ht="13" hidden="false" customHeight="false" outlineLevel="0" collapsed="false">
      <c r="A19" s="18" t="s">
        <v>129</v>
      </c>
      <c r="B19" s="18" t="n">
        <f aca="false">SUM(B12:B17)</f>
        <v>443.4</v>
      </c>
      <c r="C19" s="18" t="n">
        <f aca="false">SUM(C12:C17)</f>
        <v>569.4</v>
      </c>
      <c r="D19" s="18" t="n">
        <f aca="false">((C19-B19)/B19)*100</f>
        <v>28.4167794316644</v>
      </c>
      <c r="E19" s="18" t="n">
        <f aca="false">SUM(E12:E17)</f>
        <v>131.2</v>
      </c>
      <c r="F19" s="18" t="n">
        <f aca="false">SUM(F12:F17)</f>
        <v>228.5</v>
      </c>
      <c r="G19" s="18" t="n">
        <f aca="false">((F19-E19)/E19)*100</f>
        <v>74.1615853658537</v>
      </c>
      <c r="H19" s="18" t="n">
        <f aca="false">SUM(H12:H17)</f>
        <v>117.7</v>
      </c>
      <c r="I19" s="18" t="n">
        <f aca="false">SUM(I12:I17)</f>
        <v>424.9</v>
      </c>
      <c r="J19" s="18" t="n">
        <f aca="false">((I19-H19)/H19)*100</f>
        <v>261.002548853016</v>
      </c>
      <c r="K19" s="18" t="n">
        <f aca="false">SUM(K12:K17)</f>
        <v>692.3</v>
      </c>
      <c r="L19" s="18" t="n">
        <f aca="false">SUM(L12:L17)</f>
        <v>1222.8</v>
      </c>
      <c r="M19" s="18" t="n">
        <f aca="false">((L19-K19)/K19)*100</f>
        <v>76.6286292069912</v>
      </c>
    </row>
    <row r="20" customFormat="false" ht="13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customFormat="false" ht="13" hidden="false" customHeight="fals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customFormat="false" ht="13" hidden="false" customHeight="false" outlineLevel="0" collapsed="false">
      <c r="A22" s="18" t="s">
        <v>130</v>
      </c>
      <c r="B22" s="11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customFormat="false" ht="13" hidden="false" customHeight="false" outlineLevel="0" collapsed="false">
      <c r="A23" s="18" t="s">
        <v>131</v>
      </c>
      <c r="B23" s="11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customFormat="false" ht="13" hidden="false" customHeight="false" outlineLevel="0" collapsed="false">
      <c r="A24" s="11"/>
      <c r="B24" s="11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28125" defaultRowHeight="13" customHeight="false" zeroHeight="false" outlineLevelRow="0" outlineLevelCol="0"/>
  <cols>
    <col collapsed="false" customWidth="true" hidden="false" outlineLevel="0" max="1" min="1" style="0" width="14.83"/>
    <col collapsed="false" customWidth="true" hidden="false" outlineLevel="0" max="3" min="2" style="0" width="5.83"/>
    <col collapsed="false" customWidth="true" hidden="false" outlineLevel="0" max="4" min="4" style="0" width="6.83"/>
    <col collapsed="false" customWidth="true" hidden="false" outlineLevel="0" max="6" min="5" style="0" width="5.83"/>
    <col collapsed="false" customWidth="true" hidden="false" outlineLevel="0" max="7" min="7" style="0" width="6.83"/>
    <col collapsed="false" customWidth="true" hidden="false" outlineLevel="0" max="9" min="8" style="0" width="5.83"/>
    <col collapsed="false" customWidth="true" hidden="false" outlineLevel="0" max="10" min="10" style="0" width="6.83"/>
    <col collapsed="false" customWidth="true" hidden="false" outlineLevel="0" max="11" min="11" style="0" width="5.83"/>
    <col collapsed="false" customWidth="true" hidden="false" outlineLevel="0" max="13" min="12" style="0" width="6.83"/>
  </cols>
  <sheetData>
    <row r="1" customFormat="false" ht="13" hidden="false" customHeight="false" outlineLevel="0" collapsed="false">
      <c r="A1" s="9" t="s">
        <v>132</v>
      </c>
      <c r="B1" s="9"/>
      <c r="C1" s="11"/>
      <c r="D1" s="11"/>
      <c r="E1" s="9"/>
      <c r="F1" s="9"/>
      <c r="G1" s="9"/>
      <c r="H1" s="9"/>
      <c r="I1" s="9"/>
      <c r="J1" s="9"/>
      <c r="K1" s="9"/>
      <c r="L1" s="9"/>
      <c r="M1" s="9"/>
    </row>
    <row r="2" customFormat="false" ht="13" hidden="false" customHeight="false" outlineLevel="0" collapsed="false">
      <c r="A2" s="9"/>
      <c r="B2" s="9"/>
      <c r="C2" s="11"/>
      <c r="D2" s="11"/>
      <c r="E2" s="9"/>
      <c r="F2" s="9"/>
      <c r="G2" s="9"/>
      <c r="H2" s="9"/>
      <c r="I2" s="9"/>
      <c r="J2" s="9"/>
      <c r="K2" s="9"/>
      <c r="L2" s="9"/>
      <c r="M2" s="9"/>
    </row>
    <row r="3" customFormat="false" ht="13" hidden="false" customHeight="false" outlineLevel="0" collapsed="false">
      <c r="A3" s="9"/>
      <c r="B3" s="11"/>
      <c r="C3" s="11"/>
      <c r="D3" s="11"/>
      <c r="E3" s="9"/>
      <c r="F3" s="9"/>
      <c r="G3" s="9"/>
      <c r="H3" s="9"/>
      <c r="I3" s="9"/>
      <c r="J3" s="9"/>
      <c r="K3" s="9"/>
      <c r="L3" s="9"/>
      <c r="M3" s="9"/>
    </row>
    <row r="4" customFormat="false" ht="13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3" hidden="false" customHeight="false" outlineLevel="0" collapsed="false">
      <c r="A5" s="9"/>
      <c r="B5" s="9"/>
      <c r="C5" s="9"/>
      <c r="D5" s="9"/>
      <c r="E5" s="9" t="s">
        <v>116</v>
      </c>
      <c r="F5" s="9"/>
      <c r="G5" s="9"/>
      <c r="H5" s="9"/>
      <c r="I5" s="9"/>
      <c r="J5" s="9"/>
      <c r="K5" s="9"/>
      <c r="L5" s="9"/>
      <c r="M5" s="9"/>
    </row>
    <row r="6" customFormat="false" ht="13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customFormat="false" ht="13" hidden="false" customHeight="false" outlineLevel="0" collapsed="false">
      <c r="A7" s="9" t="s">
        <v>117</v>
      </c>
      <c r="B7" s="9" t="s">
        <v>151</v>
      </c>
      <c r="C7" s="11"/>
      <c r="D7" s="9"/>
      <c r="E7" s="9" t="s">
        <v>152</v>
      </c>
      <c r="F7" s="9"/>
      <c r="G7" s="9"/>
      <c r="H7" s="9" t="s">
        <v>153</v>
      </c>
      <c r="I7" s="9"/>
      <c r="J7" s="9"/>
      <c r="K7" s="9" t="s">
        <v>154</v>
      </c>
      <c r="L7" s="9"/>
      <c r="M7" s="9"/>
    </row>
    <row r="8" customFormat="false" ht="13" hidden="false" customHeight="false" outlineLevel="0" collapsed="false">
      <c r="A8" s="9"/>
      <c r="B8" s="9"/>
      <c r="C8" s="9"/>
      <c r="D8" s="16" t="s">
        <v>122</v>
      </c>
      <c r="E8" s="9"/>
      <c r="F8" s="9"/>
      <c r="G8" s="16" t="s">
        <v>122</v>
      </c>
      <c r="H8" s="9"/>
      <c r="I8" s="9"/>
      <c r="J8" s="16" t="s">
        <v>122</v>
      </c>
      <c r="K8" s="9"/>
      <c r="L8" s="9"/>
      <c r="M8" s="16" t="s">
        <v>122</v>
      </c>
    </row>
    <row r="9" customFormat="false" ht="13" hidden="false" customHeight="false" outlineLevel="0" collapsed="false">
      <c r="A9" s="9"/>
      <c r="B9" s="16" t="s">
        <v>123</v>
      </c>
      <c r="C9" s="16" t="s">
        <v>124</v>
      </c>
      <c r="D9" s="16" t="s">
        <v>125</v>
      </c>
      <c r="E9" s="16" t="s">
        <v>123</v>
      </c>
      <c r="F9" s="16" t="s">
        <v>124</v>
      </c>
      <c r="G9" s="16" t="s">
        <v>125</v>
      </c>
      <c r="H9" s="16" t="s">
        <v>123</v>
      </c>
      <c r="I9" s="16" t="s">
        <v>124</v>
      </c>
      <c r="J9" s="16" t="s">
        <v>125</v>
      </c>
      <c r="K9" s="16" t="s">
        <v>123</v>
      </c>
      <c r="L9" s="16" t="s">
        <v>124</v>
      </c>
      <c r="M9" s="16" t="s">
        <v>125</v>
      </c>
    </row>
    <row r="10" customFormat="false" ht="13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customFormat="false" ht="13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customFormat="false" ht="13" hidden="false" customHeight="false" outlineLevel="0" collapsed="false">
      <c r="A12" s="9" t="s">
        <v>126</v>
      </c>
      <c r="B12" s="9" t="n">
        <v>31.2</v>
      </c>
      <c r="C12" s="9" t="n">
        <v>30.5</v>
      </c>
      <c r="D12" s="9" t="n">
        <f aca="false">((C12-B12)/B12)*100</f>
        <v>-2.24358974358974</v>
      </c>
      <c r="E12" s="9" t="n">
        <v>36.6</v>
      </c>
      <c r="F12" s="9" t="n">
        <v>28.9</v>
      </c>
      <c r="G12" s="9" t="n">
        <f aca="false">((F12-E12)/E12)*100</f>
        <v>-21.0382513661202</v>
      </c>
      <c r="H12" s="9" t="n">
        <v>45.3</v>
      </c>
      <c r="I12" s="9" t="n">
        <v>36</v>
      </c>
      <c r="J12" s="9" t="n">
        <f aca="false">((I12-H12)/H12)*100</f>
        <v>-20.5298013245033</v>
      </c>
      <c r="K12" s="9" t="n">
        <v>32.2</v>
      </c>
      <c r="L12" s="9" t="n">
        <v>30.5</v>
      </c>
      <c r="M12" s="9" t="n">
        <f aca="false">((L12-K12)/K12)*100</f>
        <v>-5.27950310559007</v>
      </c>
    </row>
    <row r="13" customFormat="false" ht="13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customFormat="false" ht="13" hidden="false" customHeight="false" outlineLevel="0" collapsed="false">
      <c r="A14" s="9" t="s">
        <v>127</v>
      </c>
      <c r="B14" s="9" t="n">
        <v>37.3</v>
      </c>
      <c r="C14" s="9" t="n">
        <v>35</v>
      </c>
      <c r="D14" s="9" t="n">
        <f aca="false">((C14-B14)/B14)*100</f>
        <v>-6.16621983914208</v>
      </c>
      <c r="E14" s="9" t="n">
        <v>20.4</v>
      </c>
      <c r="F14" s="9" t="n">
        <v>22.8</v>
      </c>
      <c r="G14" s="9" t="n">
        <f aca="false">((F14-E14)/E14)*100</f>
        <v>11.764705882353</v>
      </c>
      <c r="H14" s="9" t="n">
        <v>27</v>
      </c>
      <c r="I14" s="9" t="n">
        <v>32.3</v>
      </c>
      <c r="J14" s="9" t="n">
        <f aca="false">((I14-H14)/H14)*100</f>
        <v>19.6296296296296</v>
      </c>
      <c r="K14" s="9" t="n">
        <v>31.1</v>
      </c>
      <c r="L14" s="9" t="n">
        <v>30.4</v>
      </c>
      <c r="M14" s="9" t="n">
        <f aca="false">((L14-K14)/K14)*100</f>
        <v>-2.25080385852091</v>
      </c>
    </row>
    <row r="15" customFormat="false" ht="13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customFormat="false" ht="13" hidden="false" customHeight="false" outlineLevel="0" collapsed="false">
      <c r="A16" s="9" t="s">
        <v>128</v>
      </c>
      <c r="B16" s="9" t="n">
        <v>45.2</v>
      </c>
      <c r="C16" s="9" t="n">
        <v>47.7</v>
      </c>
      <c r="D16" s="9" t="n">
        <f aca="false">((C16-B16)/B16)*100</f>
        <v>5.53097345132743</v>
      </c>
      <c r="E16" s="9" t="n">
        <v>29.4</v>
      </c>
      <c r="F16" s="9" t="n">
        <v>38.3</v>
      </c>
      <c r="G16" s="9" t="n">
        <f aca="false">((F16-E16)/E16)*100</f>
        <v>30.2721088435374</v>
      </c>
      <c r="H16" s="9" t="n">
        <v>20.6</v>
      </c>
      <c r="I16" s="9" t="n">
        <v>25.6</v>
      </c>
      <c r="J16" s="9" t="n">
        <f aca="false">((I16-H16)/H16)*100</f>
        <v>24.2718446601942</v>
      </c>
      <c r="K16" s="9" t="n">
        <v>33</v>
      </c>
      <c r="L16" s="9" t="n">
        <v>34.3</v>
      </c>
      <c r="M16" s="9" t="n">
        <f aca="false">((L16-K16)/K16)*100</f>
        <v>3.93939393939393</v>
      </c>
    </row>
    <row r="17" customFormat="false" ht="13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customFormat="false" ht="13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customFormat="false" ht="13" hidden="false" customHeight="false" outlineLevel="0" collapsed="false">
      <c r="A19" s="9" t="s">
        <v>130</v>
      </c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customFormat="false" ht="13" hidden="false" customHeight="false" outlineLevel="0" collapsed="false">
      <c r="A20" s="9" t="s">
        <v>137</v>
      </c>
      <c r="B20" s="1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customFormat="false" ht="13" hidden="false" customHeight="false" outlineLevel="0" collapsed="false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1" activeCellId="0" sqref="A1"/>
    </sheetView>
  </sheetViews>
  <sheetFormatPr defaultColWidth="9.828125" defaultRowHeight="13" customHeight="false" zeroHeight="false" outlineLevelRow="0" outlineLevelCol="0"/>
  <sheetData>
    <row r="1" customFormat="false" ht="13" hidden="false" customHeight="false" outlineLevel="0" collapsed="false">
      <c r="A1" s="11" t="s">
        <v>77</v>
      </c>
      <c r="B1" s="11" t="s">
        <v>78</v>
      </c>
      <c r="E1" s="11"/>
    </row>
    <row r="2" customFormat="false" ht="13" hidden="false" customHeight="false" outlineLevel="0" collapsed="false">
      <c r="A2" s="11"/>
      <c r="B2" s="11" t="s">
        <v>79</v>
      </c>
      <c r="E2" s="11"/>
    </row>
    <row r="6" customFormat="false" ht="13" hidden="false" customHeight="false" outlineLevel="0" collapsed="false">
      <c r="B6" s="11"/>
      <c r="D6" s="11"/>
      <c r="E6" s="11" t="s">
        <v>80</v>
      </c>
      <c r="F6" s="11"/>
      <c r="G6" s="11"/>
      <c r="H6" s="11"/>
      <c r="I6" s="11"/>
    </row>
    <row r="7" customFormat="false" ht="13" hidden="false" customHeight="false" outlineLevel="0" collapsed="false">
      <c r="A7" s="11" t="s">
        <v>81</v>
      </c>
      <c r="B7" s="11" t="s">
        <v>82</v>
      </c>
      <c r="C7" s="11"/>
      <c r="D7" s="12" t="s">
        <v>2</v>
      </c>
      <c r="E7" s="12" t="s">
        <v>83</v>
      </c>
      <c r="F7" s="12" t="s">
        <v>84</v>
      </c>
      <c r="G7" s="12" t="s">
        <v>85</v>
      </c>
      <c r="H7" s="12" t="s">
        <v>83</v>
      </c>
      <c r="I7" s="12" t="s">
        <v>85</v>
      </c>
      <c r="J7" s="12" t="s">
        <v>86</v>
      </c>
    </row>
    <row r="8" customFormat="false" ht="13" hidden="false" customHeight="false" outlineLevel="0" collapsed="false">
      <c r="A8" s="11"/>
      <c r="B8" s="11"/>
      <c r="C8" s="11"/>
      <c r="D8" s="12" t="s">
        <v>87</v>
      </c>
      <c r="E8" s="12" t="s">
        <v>88</v>
      </c>
      <c r="F8" s="12" t="s">
        <v>89</v>
      </c>
      <c r="G8" s="12" t="s">
        <v>88</v>
      </c>
      <c r="H8" s="12" t="s">
        <v>89</v>
      </c>
      <c r="I8" s="12" t="s">
        <v>87</v>
      </c>
      <c r="J8" s="12" t="s">
        <v>89</v>
      </c>
    </row>
    <row r="9" customFormat="false" ht="13" hidden="false" customHeight="false" outlineLevel="0" collapsed="false">
      <c r="A9" s="11"/>
      <c r="B9" s="11"/>
      <c r="D9" s="11"/>
      <c r="E9" s="11"/>
      <c r="F9" s="11"/>
      <c r="G9" s="11"/>
      <c r="H9" s="11"/>
      <c r="I9" s="11"/>
    </row>
    <row r="10" customFormat="false" ht="13" hidden="false" customHeight="false" outlineLevel="0" collapsed="false">
      <c r="A10" s="11" t="s">
        <v>90</v>
      </c>
      <c r="B10" s="11" t="n">
        <v>1968</v>
      </c>
      <c r="C10" s="13" t="s">
        <v>91</v>
      </c>
      <c r="D10" s="9" t="n">
        <v>28.3</v>
      </c>
      <c r="E10" s="9" t="n">
        <v>32.5</v>
      </c>
      <c r="F10" s="9" t="n">
        <v>19.2</v>
      </c>
      <c r="G10" s="9" t="n">
        <v>17.8</v>
      </c>
      <c r="H10" s="9" t="n">
        <v>27.3</v>
      </c>
      <c r="I10" s="9" t="n">
        <v>24.4</v>
      </c>
      <c r="J10" s="9" t="n">
        <v>17.9</v>
      </c>
    </row>
    <row r="11" customFormat="false" ht="13" hidden="false" customHeight="false" outlineLevel="0" collapsed="false">
      <c r="A11" s="11"/>
      <c r="B11" s="11"/>
      <c r="C11" s="13" t="s">
        <v>92</v>
      </c>
      <c r="D11" s="0" t="n">
        <v>11633</v>
      </c>
      <c r="E11" s="0" t="n">
        <v>9124</v>
      </c>
      <c r="F11" s="0" t="n">
        <v>3823</v>
      </c>
      <c r="G11" s="0" t="n">
        <v>3656</v>
      </c>
      <c r="H11" s="0" t="n">
        <v>996</v>
      </c>
      <c r="I11" s="0" t="n">
        <v>341</v>
      </c>
      <c r="J11" s="11" t="n">
        <v>738</v>
      </c>
    </row>
    <row r="12" customFormat="false" ht="13" hidden="false" customHeight="false" outlineLevel="0" collapsed="false">
      <c r="A12" s="11"/>
      <c r="B12" s="11"/>
      <c r="C12" s="11"/>
      <c r="D12" s="9"/>
      <c r="E12" s="9"/>
      <c r="F12" s="9"/>
      <c r="G12" s="9"/>
      <c r="H12" s="9"/>
      <c r="I12" s="9"/>
      <c r="J12" s="9"/>
    </row>
    <row r="13" customFormat="false" ht="13" hidden="false" customHeight="false" outlineLevel="0" collapsed="false">
      <c r="A13" s="11"/>
      <c r="B13" s="11" t="n">
        <v>1988</v>
      </c>
      <c r="C13" s="13" t="s">
        <v>91</v>
      </c>
      <c r="D13" s="9" t="n">
        <v>28.9</v>
      </c>
      <c r="E13" s="9" t="n">
        <v>32.5</v>
      </c>
      <c r="F13" s="9" t="n">
        <v>18.6</v>
      </c>
      <c r="G13" s="9" t="n">
        <v>19.9</v>
      </c>
      <c r="H13" s="9" t="n">
        <v>26.6</v>
      </c>
      <c r="I13" s="9" t="n">
        <v>25.8</v>
      </c>
      <c r="J13" s="9" t="n">
        <v>17.8</v>
      </c>
    </row>
    <row r="14" customFormat="false" ht="13" hidden="false" customHeight="false" outlineLevel="0" collapsed="false">
      <c r="A14" s="11"/>
      <c r="B14" s="11"/>
      <c r="C14" s="13" t="s">
        <v>92</v>
      </c>
      <c r="D14" s="0" t="n">
        <v>3260</v>
      </c>
      <c r="E14" s="0" t="n">
        <v>2181</v>
      </c>
      <c r="F14" s="0" t="n">
        <v>1378</v>
      </c>
      <c r="G14" s="0" t="n">
        <v>1456</v>
      </c>
      <c r="H14" s="0" t="n">
        <v>847</v>
      </c>
      <c r="I14" s="0" t="n">
        <v>734</v>
      </c>
      <c r="J14" s="11" t="n">
        <v>726</v>
      </c>
    </row>
    <row r="15" customFormat="false" ht="13" hidden="false" customHeight="false" outlineLevel="0" collapsed="false">
      <c r="A15" s="11"/>
      <c r="C15" s="11"/>
      <c r="J15" s="11"/>
    </row>
    <row r="16" customFormat="false" ht="13" hidden="false" customHeight="false" outlineLevel="0" collapsed="false">
      <c r="A16" s="11" t="s">
        <v>93</v>
      </c>
      <c r="B16" s="11" t="n">
        <v>1968</v>
      </c>
      <c r="C16" s="13" t="s">
        <v>91</v>
      </c>
      <c r="D16" s="9" t="n">
        <v>32.3</v>
      </c>
      <c r="E16" s="9" t="n">
        <v>36.4</v>
      </c>
      <c r="F16" s="9" t="n">
        <v>17.2</v>
      </c>
      <c r="G16" s="9" t="n">
        <v>17.9</v>
      </c>
      <c r="H16" s="9" t="n">
        <v>27.8</v>
      </c>
      <c r="I16" s="9" t="n">
        <v>25.8</v>
      </c>
      <c r="J16" s="9" t="n">
        <v>17.1</v>
      </c>
    </row>
    <row r="17" customFormat="false" ht="13" hidden="false" customHeight="false" outlineLevel="0" collapsed="false">
      <c r="A17" s="11"/>
      <c r="B17" s="11"/>
      <c r="C17" s="13" t="s">
        <v>92</v>
      </c>
      <c r="D17" s="0" t="n">
        <v>4962</v>
      </c>
      <c r="E17" s="0" t="n">
        <v>3792</v>
      </c>
      <c r="F17" s="0" t="n">
        <v>7068</v>
      </c>
      <c r="G17" s="0" t="n">
        <v>4191</v>
      </c>
      <c r="H17" s="0" t="n">
        <v>399</v>
      </c>
      <c r="I17" s="0" t="n">
        <v>178</v>
      </c>
      <c r="J17" s="11" t="n">
        <v>1337</v>
      </c>
    </row>
    <row r="18" customFormat="false" ht="13" hidden="false" customHeight="false" outlineLevel="0" collapsed="false">
      <c r="A18" s="11"/>
      <c r="B18" s="11"/>
      <c r="C18" s="11"/>
      <c r="J18" s="11"/>
    </row>
    <row r="19" customFormat="false" ht="13" hidden="false" customHeight="false" outlineLevel="0" collapsed="false">
      <c r="A19" s="11"/>
      <c r="B19" s="11" t="n">
        <v>1988</v>
      </c>
      <c r="C19" s="13" t="s">
        <v>91</v>
      </c>
      <c r="D19" s="9" t="n">
        <v>31.2</v>
      </c>
      <c r="E19" s="9" t="n">
        <v>32.3</v>
      </c>
      <c r="F19" s="9" t="n">
        <v>18.1</v>
      </c>
      <c r="G19" s="9" t="n">
        <v>18.7</v>
      </c>
      <c r="H19" s="9" t="n">
        <v>26.4</v>
      </c>
      <c r="I19" s="9" t="n">
        <v>32.9</v>
      </c>
      <c r="J19" s="9" t="n">
        <v>17</v>
      </c>
    </row>
    <row r="20" customFormat="false" ht="13" hidden="false" customHeight="false" outlineLevel="0" collapsed="false">
      <c r="A20" s="11"/>
      <c r="B20" s="11"/>
      <c r="C20" s="13" t="s">
        <v>92</v>
      </c>
      <c r="D20" s="0" t="n">
        <v>311</v>
      </c>
      <c r="E20" s="0" t="n">
        <v>196</v>
      </c>
      <c r="F20" s="0" t="n">
        <v>1025</v>
      </c>
      <c r="G20" s="0" t="n">
        <v>651</v>
      </c>
      <c r="H20" s="0" t="n">
        <v>180</v>
      </c>
      <c r="I20" s="0" t="n">
        <v>148</v>
      </c>
      <c r="J20" s="11" t="n">
        <v>530</v>
      </c>
    </row>
    <row r="21" customFormat="false" ht="13" hidden="false" customHeight="false" outlineLevel="0" collapsed="false">
      <c r="A21" s="11"/>
      <c r="B21" s="11"/>
      <c r="C21" s="11"/>
      <c r="J21" s="11"/>
    </row>
    <row r="22" customFormat="false" ht="13" hidden="false" customHeight="false" outlineLevel="0" collapsed="false">
      <c r="A22" s="11" t="s">
        <v>94</v>
      </c>
      <c r="B22" s="11" t="n">
        <v>1968</v>
      </c>
      <c r="C22" s="13" t="s">
        <v>91</v>
      </c>
      <c r="D22" s="9" t="n">
        <v>40.7</v>
      </c>
      <c r="E22" s="9" t="n">
        <v>47.3</v>
      </c>
      <c r="F22" s="9" t="n">
        <v>17.3</v>
      </c>
      <c r="G22" s="9" t="n">
        <v>18.5</v>
      </c>
      <c r="H22" s="9" t="n">
        <v>32.3</v>
      </c>
      <c r="I22" s="9" t="n">
        <v>35</v>
      </c>
      <c r="J22" s="9" t="n">
        <v>15.1</v>
      </c>
    </row>
    <row r="23" customFormat="false" ht="13" hidden="false" customHeight="false" outlineLevel="0" collapsed="false">
      <c r="A23" s="11"/>
      <c r="B23" s="11"/>
      <c r="C23" s="13" t="s">
        <v>92</v>
      </c>
      <c r="D23" s="0" t="n">
        <v>403</v>
      </c>
      <c r="E23" s="0" t="n">
        <v>324</v>
      </c>
      <c r="F23" s="0" t="n">
        <v>1194</v>
      </c>
      <c r="G23" s="0" t="n">
        <v>745</v>
      </c>
      <c r="H23" s="0" t="n">
        <v>33</v>
      </c>
      <c r="I23" s="0" t="n">
        <v>27</v>
      </c>
      <c r="J23" s="11" t="n">
        <v>256</v>
      </c>
    </row>
    <row r="24" customFormat="false" ht="13" hidden="false" customHeight="false" outlineLevel="0" collapsed="false">
      <c r="A24" s="11"/>
      <c r="B24" s="11"/>
      <c r="C24" s="11"/>
      <c r="D24" s="11" t="s">
        <v>24</v>
      </c>
      <c r="E24" s="11"/>
      <c r="F24" s="11"/>
      <c r="G24" s="11"/>
      <c r="H24" s="11"/>
      <c r="I24" s="11"/>
      <c r="J24" s="11"/>
    </row>
    <row r="25" customFormat="false" ht="13" hidden="false" customHeight="false" outlineLevel="0" collapsed="false">
      <c r="A25" s="11"/>
      <c r="B25" s="11" t="n">
        <v>1988</v>
      </c>
      <c r="C25" s="13" t="s">
        <v>91</v>
      </c>
      <c r="D25" s="9" t="n">
        <v>37.8</v>
      </c>
      <c r="E25" s="9" t="n">
        <v>44.1</v>
      </c>
      <c r="F25" s="9" t="n">
        <v>16.7</v>
      </c>
      <c r="G25" s="9" t="n">
        <v>15.1</v>
      </c>
      <c r="H25" s="9" t="n">
        <v>30.1</v>
      </c>
      <c r="I25" s="9" t="n">
        <v>33.5</v>
      </c>
      <c r="J25" s="9" t="n">
        <v>18.2</v>
      </c>
    </row>
    <row r="26" customFormat="false" ht="13" hidden="false" customHeight="false" outlineLevel="0" collapsed="false">
      <c r="A26" s="11"/>
      <c r="B26" s="11"/>
      <c r="C26" s="13" t="s">
        <v>92</v>
      </c>
      <c r="D26" s="0" t="n">
        <v>105</v>
      </c>
      <c r="E26" s="0" t="n">
        <v>70</v>
      </c>
      <c r="F26" s="0" t="n">
        <v>601</v>
      </c>
      <c r="G26" s="0" t="n">
        <v>298</v>
      </c>
      <c r="H26" s="0" t="n">
        <v>57</v>
      </c>
      <c r="I26" s="0" t="n">
        <v>50</v>
      </c>
      <c r="J26" s="11" t="n">
        <v>233</v>
      </c>
    </row>
    <row r="27" customFormat="false" ht="13" hidden="false" customHeight="false" outlineLevel="0" collapsed="false">
      <c r="A27" s="11"/>
      <c r="B27" s="11"/>
      <c r="C27" s="11"/>
      <c r="J27" s="11"/>
    </row>
    <row r="28" customFormat="false" ht="13" hidden="false" customHeight="false" outlineLevel="0" collapsed="false">
      <c r="A28" s="11" t="s">
        <v>95</v>
      </c>
      <c r="B28" s="11" t="n">
        <v>1968</v>
      </c>
      <c r="C28" s="13" t="s">
        <v>91</v>
      </c>
      <c r="D28" s="9" t="n">
        <v>44.3</v>
      </c>
      <c r="E28" s="9" t="n">
        <v>51.4</v>
      </c>
      <c r="F28" s="9" t="n">
        <v>39.6</v>
      </c>
      <c r="G28" s="9" t="n">
        <v>42.8</v>
      </c>
      <c r="H28" s="9" t="n">
        <v>38.5</v>
      </c>
      <c r="I28" s="9" t="n">
        <v>36.8</v>
      </c>
      <c r="J28" s="9" t="n">
        <v>33.5</v>
      </c>
    </row>
    <row r="29" customFormat="false" ht="13" hidden="false" customHeight="false" outlineLevel="0" collapsed="false">
      <c r="A29" s="11"/>
      <c r="B29" s="11"/>
      <c r="C29" s="13" t="s">
        <v>92</v>
      </c>
      <c r="D29" s="0" t="n">
        <v>3176</v>
      </c>
      <c r="E29" s="0" t="n">
        <v>2693</v>
      </c>
      <c r="F29" s="0" t="n">
        <v>875</v>
      </c>
      <c r="G29" s="0" t="n">
        <v>391</v>
      </c>
      <c r="H29" s="0" t="n">
        <v>172</v>
      </c>
      <c r="I29" s="0" t="n">
        <v>44</v>
      </c>
      <c r="J29" s="11" t="n">
        <v>72</v>
      </c>
    </row>
    <row r="30" customFormat="false" ht="13" hidden="false" customHeight="false" outlineLevel="0" collapsed="false">
      <c r="A30" s="11"/>
      <c r="B30" s="11"/>
      <c r="C30" s="11"/>
      <c r="J30" s="11"/>
    </row>
    <row r="31" customFormat="false" ht="13" hidden="false" customHeight="false" outlineLevel="0" collapsed="false">
      <c r="A31" s="11"/>
      <c r="B31" s="11" t="n">
        <v>1988</v>
      </c>
      <c r="C31" s="13" t="s">
        <v>91</v>
      </c>
      <c r="D31" s="9" t="n">
        <v>42.8</v>
      </c>
      <c r="E31" s="9" t="n">
        <v>46</v>
      </c>
      <c r="F31" s="9" t="n">
        <v>36</v>
      </c>
      <c r="G31" s="9" t="n">
        <v>36.3</v>
      </c>
      <c r="H31" s="9" t="n">
        <v>37.6</v>
      </c>
      <c r="I31" s="9" t="n">
        <v>27.2</v>
      </c>
      <c r="J31" s="9" t="n">
        <v>34.6</v>
      </c>
    </row>
    <row r="32" customFormat="false" ht="13" hidden="false" customHeight="false" outlineLevel="0" collapsed="false">
      <c r="A32" s="11"/>
      <c r="B32" s="11"/>
      <c r="C32" s="13" t="s">
        <v>92</v>
      </c>
      <c r="D32" s="0" t="n">
        <v>991</v>
      </c>
      <c r="E32" s="0" t="n">
        <v>800</v>
      </c>
      <c r="F32" s="0" t="n">
        <v>174</v>
      </c>
      <c r="G32" s="0" t="n">
        <v>182</v>
      </c>
      <c r="H32" s="0" t="n">
        <v>159</v>
      </c>
      <c r="I32" s="0" t="n">
        <v>132</v>
      </c>
      <c r="J32" s="11" t="n">
        <v>87</v>
      </c>
    </row>
    <row r="33" customFormat="false" ht="13" hidden="false" customHeight="false" outlineLevel="0" collapsed="false">
      <c r="A33" s="11"/>
      <c r="B33" s="11"/>
      <c r="C33" s="11"/>
      <c r="J33" s="11"/>
    </row>
    <row r="34" customFormat="false" ht="13" hidden="false" customHeight="false" outlineLevel="0" collapsed="false">
      <c r="B34" s="11"/>
      <c r="D34" s="11"/>
      <c r="E34" s="11"/>
      <c r="F34" s="11"/>
      <c r="G34" s="11"/>
      <c r="H34" s="11"/>
      <c r="I34" s="11"/>
    </row>
    <row r="35" customFormat="false" ht="13" hidden="false" customHeight="false" outlineLevel="0" collapsed="false">
      <c r="A35" s="11" t="s">
        <v>96</v>
      </c>
      <c r="B35" s="11" t="n">
        <v>1968</v>
      </c>
      <c r="C35" s="13" t="s">
        <v>91</v>
      </c>
      <c r="D35" s="9" t="n">
        <f aca="false">((D10*A!$D$130)+(D16*A!$D$136)+(D22*A!$D$142)+(D28*A!$D$148))/(A!$D$155)</f>
        <v>32.0504312481412</v>
      </c>
      <c r="E35" s="9" t="n">
        <f aca="false">((E10*A!$E$130)+(E16*A!$E$136)+(E22*A!$E$142)+(E28*A!$E$148))/(A!$E$155)</f>
        <v>36.9236302014687</v>
      </c>
      <c r="F35" s="9" t="n">
        <f aca="false">((F10*A!$F$130)+(F16*A!$F$136)+(F22*A!$F$142)+(F28*A!$F$148))/(A!$F$155)</f>
        <v>19.3115277777778</v>
      </c>
      <c r="G35" s="9" t="n">
        <f aca="false">((G10*A!$G$130)+(G16*A!$G$136)+(G22*A!$G$142)+(G28*A!$G$148))/(A!$G$155)</f>
        <v>18.9928754313704</v>
      </c>
      <c r="H35" s="9" t="n">
        <f aca="false">((H10*A!$H$130)+(H16*A!$H$136)+(H22*A!$H$142)+(H28*A!$H$148))/(A!$H$155)</f>
        <v>28.7318125</v>
      </c>
      <c r="I35" s="9" t="n">
        <f aca="false">((I10*A!$I$130)+(I16*A!$I$136)+(I22*A!$I$142)+(I28*A!$I$148))/(A!$I$155)</f>
        <v>26.2322033898305</v>
      </c>
      <c r="J35" s="9" t="n">
        <f aca="false">((J10*A!$J$130)+(J16*A!$J$136)+(J22*A!$J$142)+(J28*A!$J$148))/(A!$J$155)</f>
        <v>17.6240116521015</v>
      </c>
    </row>
    <row r="36" customFormat="false" ht="13" hidden="false" customHeight="false" outlineLevel="0" collapsed="false">
      <c r="A36" s="11" t="s">
        <v>97</v>
      </c>
      <c r="B36" s="11"/>
      <c r="C36" s="13" t="s">
        <v>92</v>
      </c>
      <c r="D36" s="0" t="n">
        <f aca="false">(D11+D17+D23+D29)</f>
        <v>20174</v>
      </c>
      <c r="E36" s="0" t="n">
        <f aca="false">(E11+E17+E23+E29)</f>
        <v>15933</v>
      </c>
      <c r="F36" s="0" t="n">
        <f aca="false">(F11+F17+F23+F29)</f>
        <v>12960</v>
      </c>
      <c r="G36" s="0" t="n">
        <f aca="false">(G11+G17+G23+G29)</f>
        <v>8983</v>
      </c>
      <c r="H36" s="0" t="n">
        <f aca="false">(H11+H17+H23+H29)</f>
        <v>1600</v>
      </c>
      <c r="I36" s="0" t="n">
        <f aca="false">(I11+I17+I23+I29)</f>
        <v>590</v>
      </c>
      <c r="J36" s="11" t="n">
        <f aca="false">(J11+J17+J23+J29)</f>
        <v>2403</v>
      </c>
    </row>
    <row r="37" customFormat="false" ht="13" hidden="false" customHeight="false" outlineLevel="0" collapsed="false">
      <c r="A37" s="11"/>
      <c r="B37" s="11"/>
      <c r="C37" s="11"/>
      <c r="J37" s="11"/>
    </row>
    <row r="38" customFormat="false" ht="13" hidden="false" customHeight="false" outlineLevel="0" collapsed="false">
      <c r="A38" s="11"/>
      <c r="B38" s="11" t="n">
        <v>1988</v>
      </c>
      <c r="C38" s="13" t="s">
        <v>91</v>
      </c>
      <c r="D38" s="9" t="n">
        <f aca="false">((D13*A!$D$133)+(D19*A!$D$139)+(D25*A!$D$145)+(D31*A!$D$151))/(A!$D$158)</f>
        <v>32.2050567816585</v>
      </c>
      <c r="E38" s="9" t="n">
        <f aca="false">((E13*A!$E$133)+(E19*A!$E$139)+(E25*A!$E$145)+(E31*A!$E$151))/(A!$E$158)</f>
        <v>36.0641515244841</v>
      </c>
      <c r="F38" s="9" t="n">
        <f aca="false">((F13*A!$F$133)+(F19*A!$F$139)+(F25*A!$F$145)+(F31*A!$F$151))/(A!$F$158)</f>
        <v>19.0320956576463</v>
      </c>
      <c r="G38" s="9" t="n">
        <f aca="false">((G13*A!$G$133)+(G19*A!$G$139)+(G25*A!$G$145)+(G31*A!$G$151))/(A!$G$158)</f>
        <v>20.1988790104368</v>
      </c>
      <c r="H38" s="9" t="n">
        <f aca="false">((H13*A!$H$133)+(H19*A!$H$139)+(H25*A!$H$145)+(H31*A!$H$151))/(A!$H$158)</f>
        <v>28.1386162510056</v>
      </c>
      <c r="I38" s="9" t="n">
        <f aca="false">((I13*A!$I$133)+(I19*A!$I$139)+(I25*A!$I$145)+(I31*A!$I$151))/(A!$I$158)</f>
        <v>27.3231203007519</v>
      </c>
      <c r="J38" s="9" t="n">
        <f aca="false">((J13*A!$J$133)+(J19*A!$J$139)+(J25*A!$J$145)+(J31*A!$J$151))/(A!$J$158)</f>
        <v>18.5175126903553</v>
      </c>
    </row>
    <row r="39" customFormat="false" ht="13" hidden="false" customHeight="false" outlineLevel="0" collapsed="false">
      <c r="A39" s="11"/>
      <c r="B39" s="11"/>
      <c r="C39" s="13" t="s">
        <v>92</v>
      </c>
      <c r="D39" s="0" t="n">
        <f aca="false">(D14+D20+D26+D32)</f>
        <v>4667</v>
      </c>
      <c r="E39" s="0" t="n">
        <f aca="false">(E14+E20+E26+E32)</f>
        <v>3247</v>
      </c>
      <c r="F39" s="0" t="n">
        <f aca="false">(F14+F20+F26+F32)</f>
        <v>3178</v>
      </c>
      <c r="G39" s="0" t="n">
        <f aca="false">(G14+G20+G26+G32)</f>
        <v>2587</v>
      </c>
      <c r="H39" s="0" t="n">
        <f aca="false">(H14+H20+H26+H32)</f>
        <v>1243</v>
      </c>
      <c r="I39" s="0" t="n">
        <f aca="false">(I14+I20+I26+I32)</f>
        <v>1064</v>
      </c>
      <c r="J39" s="11" t="n">
        <f aca="false">(J14+J20+J26+J32)</f>
        <v>1576</v>
      </c>
    </row>
    <row r="40" customFormat="false" ht="13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customFormat="false" ht="13" hidden="false" customHeight="false" outlineLevel="0" collapsed="false">
      <c r="A41" s="11"/>
      <c r="D41" s="9"/>
      <c r="E41" s="9"/>
      <c r="F41" s="9"/>
      <c r="G41" s="9"/>
      <c r="H41" s="9"/>
      <c r="I41" s="9"/>
      <c r="J41" s="9"/>
    </row>
    <row r="42" customFormat="false" ht="13" hidden="false" customHeight="false" outlineLevel="0" collapsed="false">
      <c r="A42" s="11" t="s">
        <v>98</v>
      </c>
      <c r="D42" s="9"/>
      <c r="E42" s="9"/>
      <c r="F42" s="9"/>
      <c r="G42" s="9"/>
      <c r="H42" s="9"/>
      <c r="I42" s="9"/>
      <c r="J42" s="9"/>
    </row>
    <row r="43" customFormat="false" ht="13" hidden="false" customHeight="false" outlineLevel="0" collapsed="false">
      <c r="A43" s="11" t="s">
        <v>99</v>
      </c>
      <c r="D43" s="9"/>
      <c r="E43" s="9"/>
      <c r="F43" s="9"/>
      <c r="G43" s="9"/>
      <c r="H43" s="9"/>
      <c r="I43" s="9"/>
      <c r="J43" s="9"/>
    </row>
    <row r="44" customFormat="false" ht="13" hidden="false" customHeight="false" outlineLevel="0" collapsed="false">
      <c r="A44" s="11" t="s">
        <v>100</v>
      </c>
      <c r="B44" s="11"/>
      <c r="C44" s="11"/>
      <c r="D44" s="9"/>
      <c r="E44" s="9"/>
      <c r="F44" s="9"/>
      <c r="G44" s="9"/>
      <c r="H44" s="9"/>
      <c r="I44" s="9"/>
      <c r="J44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28125" defaultRowHeight="13" customHeight="false" zeroHeight="false" outlineLevelRow="0" outlineLevelCol="0"/>
  <cols>
    <col collapsed="false" customWidth="true" hidden="false" outlineLevel="0" max="2" min="2" style="0" width="7.82"/>
    <col collapsed="false" customWidth="true" hidden="false" outlineLevel="0" max="3" min="3" style="0" width="2.83"/>
    <col collapsed="false" customWidth="true" hidden="false" outlineLevel="0" max="4" min="4" style="0" width="7.82"/>
    <col collapsed="false" customWidth="true" hidden="false" outlineLevel="0" max="5" min="5" style="0" width="2.83"/>
    <col collapsed="false" customWidth="true" hidden="false" outlineLevel="0" max="6" min="6" style="0" width="7.82"/>
    <col collapsed="false" customWidth="true" hidden="false" outlineLevel="0" max="7" min="7" style="0" width="2.83"/>
    <col collapsed="false" customWidth="true" hidden="false" outlineLevel="0" max="8" min="8" style="0" width="7.82"/>
    <col collapsed="false" customWidth="true" hidden="false" outlineLevel="0" max="9" min="9" style="0" width="2.83"/>
    <col collapsed="false" customWidth="true" hidden="false" outlineLevel="0" max="10" min="10" style="0" width="7.82"/>
    <col collapsed="false" customWidth="true" hidden="false" outlineLevel="0" max="11" min="11" style="0" width="2.83"/>
    <col collapsed="false" customWidth="true" hidden="false" outlineLevel="0" max="12" min="12" style="0" width="7.82"/>
    <col collapsed="false" customWidth="true" hidden="false" outlineLevel="0" max="13" min="13" style="0" width="2.83"/>
    <col collapsed="false" customWidth="true" hidden="false" outlineLevel="0" max="14" min="14" style="0" width="7.82"/>
    <col collapsed="false" customWidth="true" hidden="false" outlineLevel="0" max="15" min="15" style="0" width="2.83"/>
  </cols>
  <sheetData>
    <row r="1" customFormat="false" ht="13" hidden="false" customHeight="false" outlineLevel="0" collapsed="false">
      <c r="A1" s="11" t="s">
        <v>138</v>
      </c>
      <c r="B1" s="11" t="s">
        <v>139</v>
      </c>
    </row>
    <row r="2" customFormat="false" ht="13" hidden="false" customHeight="false" outlineLevel="0" collapsed="false">
      <c r="A2" s="11"/>
      <c r="B2" s="11" t="s">
        <v>140</v>
      </c>
    </row>
    <row r="3" customFormat="false" ht="13" hidden="false" customHeight="false" outlineLevel="0" collapsed="false">
      <c r="A3" s="11"/>
      <c r="B3" s="11" t="s">
        <v>141</v>
      </c>
    </row>
    <row r="6" customFormat="false" ht="13" hidden="false" customHeight="false" outlineLevel="0" collapsed="false">
      <c r="A6" s="11"/>
      <c r="B6" s="11"/>
      <c r="C6" s="11"/>
      <c r="D6" s="11"/>
      <c r="E6" s="11"/>
      <c r="F6" s="11" t="s">
        <v>142</v>
      </c>
      <c r="G6" s="11"/>
      <c r="H6" s="11"/>
      <c r="I6" s="11"/>
      <c r="J6" s="11"/>
      <c r="K6" s="11"/>
      <c r="L6" s="11"/>
      <c r="M6" s="11"/>
      <c r="N6" s="11"/>
    </row>
    <row r="7" customFormat="false" ht="13" hidden="false" customHeight="false" outlineLevel="0" collapsed="false">
      <c r="B7" s="10" t="s">
        <v>105</v>
      </c>
      <c r="D7" s="10" t="s">
        <v>83</v>
      </c>
      <c r="F7" s="10" t="s">
        <v>105</v>
      </c>
      <c r="H7" s="10" t="s">
        <v>86</v>
      </c>
      <c r="J7" s="10" t="s">
        <v>83</v>
      </c>
      <c r="L7" s="10" t="s">
        <v>86</v>
      </c>
      <c r="N7" s="10" t="s">
        <v>86</v>
      </c>
      <c r="O7" s="11"/>
    </row>
    <row r="8" customFormat="false" ht="13" hidden="false" customHeight="false" outlineLevel="0" collapsed="false">
      <c r="A8" s="11" t="s">
        <v>143</v>
      </c>
      <c r="B8" s="10" t="s">
        <v>87</v>
      </c>
      <c r="C8" s="11"/>
      <c r="D8" s="10" t="s">
        <v>88</v>
      </c>
      <c r="E8" s="11"/>
      <c r="F8" s="10" t="s">
        <v>89</v>
      </c>
      <c r="G8" s="11"/>
      <c r="H8" s="10" t="s">
        <v>88</v>
      </c>
      <c r="I8" s="11"/>
      <c r="J8" s="10" t="s">
        <v>89</v>
      </c>
      <c r="K8" s="11"/>
      <c r="L8" s="10" t="s">
        <v>87</v>
      </c>
      <c r="M8" s="11"/>
      <c r="N8" s="10" t="s">
        <v>89</v>
      </c>
      <c r="O8" s="11"/>
    </row>
    <row r="9" customFormat="false" ht="13" hidden="false" customHeight="false" outlineLevel="0" collapsed="false">
      <c r="A9" s="0" t="s">
        <v>90</v>
      </c>
      <c r="B9" s="20" t="n">
        <v>0.371332777238787</v>
      </c>
      <c r="C9" s="0" t="s">
        <v>144</v>
      </c>
      <c r="D9" s="20" t="n">
        <v>0</v>
      </c>
      <c r="E9" s="0" t="s">
        <v>144</v>
      </c>
      <c r="F9" s="20" t="n">
        <v>4.15636648046537</v>
      </c>
      <c r="H9" s="20" t="n">
        <v>8.8063640810387</v>
      </c>
      <c r="J9" s="20" t="n">
        <v>1.23760663344816</v>
      </c>
      <c r="K9" s="0" t="s">
        <v>144</v>
      </c>
      <c r="L9" s="20" t="n">
        <v>1.82242932675169</v>
      </c>
      <c r="M9" s="0" t="s">
        <v>144</v>
      </c>
      <c r="N9" s="20" t="n">
        <v>0.158319205276504</v>
      </c>
      <c r="O9" s="11" t="s">
        <v>144</v>
      </c>
    </row>
    <row r="10" customFormat="false" ht="13" hidden="false" customHeight="false" outlineLevel="0" collapsed="false">
      <c r="N10" s="11"/>
      <c r="O10" s="11"/>
    </row>
    <row r="11" customFormat="false" ht="13" hidden="false" customHeight="false" outlineLevel="0" collapsed="false">
      <c r="A11" s="0" t="s">
        <v>93</v>
      </c>
      <c r="B11" s="20" t="n">
        <v>0.507355998169177</v>
      </c>
      <c r="C11" s="0" t="s">
        <v>144</v>
      </c>
      <c r="D11" s="20" t="n">
        <v>1.96583594351095</v>
      </c>
      <c r="F11" s="20" t="n">
        <v>2.40744995892854</v>
      </c>
      <c r="H11" s="20" t="n">
        <v>1.13899897527584</v>
      </c>
      <c r="I11" s="0" t="s">
        <v>144</v>
      </c>
      <c r="J11" s="20" t="n">
        <v>0.60730307873688</v>
      </c>
      <c r="K11" s="0" t="s">
        <v>144</v>
      </c>
      <c r="L11" s="20" t="n">
        <v>3.66918331917583</v>
      </c>
      <c r="N11" s="20" t="n">
        <v>0.0888111419353261</v>
      </c>
      <c r="O11" s="11" t="s">
        <v>144</v>
      </c>
    </row>
    <row r="12" customFormat="false" ht="13" hidden="false" customHeight="false" outlineLevel="0" collapsed="false">
      <c r="N12" s="11"/>
      <c r="O12" s="11"/>
    </row>
    <row r="13" customFormat="false" ht="13" hidden="false" customHeight="false" outlineLevel="0" collapsed="false">
      <c r="A13" s="0" t="s">
        <v>94</v>
      </c>
      <c r="B13" s="20" t="n">
        <v>1.50141491729922</v>
      </c>
      <c r="C13" s="0" t="s">
        <v>144</v>
      </c>
      <c r="D13" s="20" t="n">
        <v>0.853382906044645</v>
      </c>
      <c r="E13" s="0" t="s">
        <v>144</v>
      </c>
      <c r="F13" s="20" t="n">
        <v>0.944833481417542</v>
      </c>
      <c r="G13" s="0" t="s">
        <v>144</v>
      </c>
      <c r="H13" s="20" t="n">
        <v>1.85980015803436</v>
      </c>
      <c r="I13" s="0" t="s">
        <v>144</v>
      </c>
      <c r="J13" s="20" t="n">
        <v>0.306182746901113</v>
      </c>
      <c r="K13" s="0" t="s">
        <v>144</v>
      </c>
      <c r="L13" s="20" t="n">
        <v>0.113459195395342</v>
      </c>
      <c r="M13" s="0" t="s">
        <v>144</v>
      </c>
      <c r="N13" s="20" t="n">
        <v>2.62399064117291</v>
      </c>
      <c r="O13" s="11"/>
    </row>
    <row r="14" customFormat="false" ht="13" hidden="false" customHeight="false" outlineLevel="0" collapsed="false">
      <c r="N14" s="11"/>
      <c r="O14" s="11"/>
    </row>
    <row r="15" customFormat="false" ht="13" hidden="false" customHeight="false" outlineLevel="0" collapsed="false">
      <c r="A15" s="0" t="s">
        <v>95</v>
      </c>
      <c r="B15" s="20" t="n">
        <v>0.28587467097619</v>
      </c>
      <c r="C15" s="0" t="s">
        <v>144</v>
      </c>
      <c r="D15" s="20" t="n">
        <v>8.45401324650335</v>
      </c>
      <c r="F15" s="20" t="n">
        <v>1.91064255682378</v>
      </c>
      <c r="G15" s="0" t="s">
        <v>144</v>
      </c>
      <c r="H15" s="20" t="n">
        <v>4.21901406150075</v>
      </c>
      <c r="J15" s="20" t="n">
        <v>0.446304303189305</v>
      </c>
      <c r="K15" s="0" t="s">
        <v>144</v>
      </c>
      <c r="L15" s="20" t="n">
        <v>2.09131621381743</v>
      </c>
      <c r="N15" s="20" t="n">
        <v>0.195367133348983</v>
      </c>
      <c r="O15" s="11" t="s">
        <v>144</v>
      </c>
    </row>
    <row r="16" customFormat="false" ht="13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customFormat="false" ht="13" hidden="false" customHeight="false" outlineLevel="0" collapsed="false">
      <c r="A17" s="0" t="s">
        <v>155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28125" defaultRowHeight="13" customHeight="false" zeroHeight="false" outlineLevelRow="0" outlineLevelCol="0"/>
  <sheetData>
    <row r="1" customFormat="false" ht="13" hidden="false" customHeight="false" outlineLevel="0" collapsed="false">
      <c r="A1" s="11" t="s">
        <v>156</v>
      </c>
      <c r="D1" s="9"/>
      <c r="E1" s="9"/>
      <c r="F1" s="9"/>
      <c r="G1" s="9"/>
      <c r="H1" s="9"/>
      <c r="I1" s="9"/>
    </row>
    <row r="2" customFormat="false" ht="13" hidden="false" customHeight="false" outlineLevel="0" collapsed="false">
      <c r="A2" s="11" t="s">
        <v>157</v>
      </c>
      <c r="B2" s="11"/>
      <c r="D2" s="9"/>
      <c r="E2" s="9"/>
      <c r="F2" s="9"/>
      <c r="G2" s="9"/>
      <c r="H2" s="9"/>
      <c r="I2" s="9"/>
    </row>
    <row r="3" customFormat="false" ht="13" hidden="false" customHeight="false" outlineLevel="0" collapsed="false">
      <c r="B3" s="11"/>
      <c r="D3" s="9"/>
      <c r="E3" s="9"/>
      <c r="F3" s="9"/>
      <c r="G3" s="9"/>
      <c r="H3" s="9"/>
      <c r="I3" s="9"/>
    </row>
    <row r="4" customFormat="false" ht="13" hidden="false" customHeight="false" outlineLevel="0" collapsed="false">
      <c r="C4" s="9"/>
      <c r="D4" s="9"/>
      <c r="E4" s="9"/>
      <c r="F4" s="9"/>
      <c r="G4" s="9"/>
      <c r="H4" s="9"/>
      <c r="I4" s="9"/>
    </row>
    <row r="5" customFormat="false" ht="13" hidden="false" customHeight="false" outlineLevel="0" collapsed="false">
      <c r="C5" s="9"/>
      <c r="D5" s="11"/>
      <c r="E5" s="9" t="s">
        <v>80</v>
      </c>
      <c r="F5" s="9"/>
      <c r="G5" s="9"/>
      <c r="H5" s="9"/>
      <c r="I5" s="9"/>
    </row>
    <row r="6" customFormat="false" ht="13" hidden="false" customHeight="false" outlineLevel="0" collapsed="false">
      <c r="A6" s="11" t="s">
        <v>81</v>
      </c>
      <c r="B6" s="21" t="s">
        <v>82</v>
      </c>
      <c r="C6" s="10" t="s">
        <v>105</v>
      </c>
      <c r="D6" s="10" t="s">
        <v>83</v>
      </c>
      <c r="E6" s="10" t="s">
        <v>105</v>
      </c>
      <c r="F6" s="10" t="s">
        <v>86</v>
      </c>
      <c r="G6" s="10" t="s">
        <v>83</v>
      </c>
      <c r="H6" s="10" t="s">
        <v>86</v>
      </c>
      <c r="I6" s="10" t="s">
        <v>86</v>
      </c>
    </row>
    <row r="7" customFormat="false" ht="13" hidden="false" customHeight="false" outlineLevel="0" collapsed="false">
      <c r="A7" s="11"/>
      <c r="B7" s="11"/>
      <c r="C7" s="10" t="s">
        <v>87</v>
      </c>
      <c r="D7" s="10" t="s">
        <v>88</v>
      </c>
      <c r="E7" s="10" t="s">
        <v>89</v>
      </c>
      <c r="F7" s="10" t="s">
        <v>88</v>
      </c>
      <c r="G7" s="10" t="s">
        <v>89</v>
      </c>
      <c r="H7" s="10" t="s">
        <v>87</v>
      </c>
      <c r="I7" s="10" t="s">
        <v>89</v>
      </c>
    </row>
    <row r="8" customFormat="false" ht="13" hidden="false" customHeight="false" outlineLevel="0" collapsed="false">
      <c r="A8" s="11"/>
      <c r="B8" s="11"/>
      <c r="C8" s="9"/>
      <c r="D8" s="9"/>
      <c r="E8" s="9"/>
      <c r="F8" s="9"/>
      <c r="G8" s="9"/>
      <c r="H8" s="9"/>
      <c r="I8" s="9"/>
    </row>
    <row r="9" customFormat="false" ht="13" hidden="false" customHeight="false" outlineLevel="0" collapsed="false">
      <c r="A9" s="11" t="s">
        <v>90</v>
      </c>
      <c r="B9" s="11" t="n">
        <v>1968</v>
      </c>
      <c r="C9" s="9" t="n">
        <v>6.9</v>
      </c>
      <c r="D9" s="9" t="n">
        <v>6.9</v>
      </c>
      <c r="E9" s="9" t="n">
        <v>4.5</v>
      </c>
      <c r="F9" s="9" t="n">
        <v>4</v>
      </c>
      <c r="G9" s="9" t="n">
        <v>5.5</v>
      </c>
      <c r="H9" s="9" t="n">
        <v>5</v>
      </c>
      <c r="I9" s="9" t="n">
        <v>3.8</v>
      </c>
    </row>
    <row r="10" customFormat="false" ht="13" hidden="false" customHeight="false" outlineLevel="0" collapsed="false">
      <c r="A10" s="11"/>
      <c r="B10" s="11"/>
      <c r="C10" s="9"/>
      <c r="D10" s="9"/>
      <c r="E10" s="9"/>
      <c r="F10" s="9"/>
      <c r="G10" s="9"/>
      <c r="H10" s="9"/>
      <c r="I10" s="9"/>
    </row>
    <row r="11" customFormat="false" ht="13" hidden="false" customHeight="false" outlineLevel="0" collapsed="false">
      <c r="A11" s="11"/>
      <c r="B11" s="11" t="n">
        <v>1988</v>
      </c>
      <c r="C11" s="9" t="n">
        <v>7.8</v>
      </c>
      <c r="D11" s="9" t="n">
        <v>8.3</v>
      </c>
      <c r="E11" s="9" t="n">
        <v>4.2</v>
      </c>
      <c r="F11" s="9" t="n">
        <v>4.5</v>
      </c>
      <c r="G11" s="9" t="n">
        <v>6.4</v>
      </c>
      <c r="H11" s="9" t="n">
        <v>6.3</v>
      </c>
      <c r="I11" s="9" t="n">
        <v>5</v>
      </c>
    </row>
    <row r="12" customFormat="false" ht="13" hidden="false" customHeight="false" outlineLevel="0" collapsed="false">
      <c r="A12" s="11"/>
      <c r="B12" s="11"/>
      <c r="C12" s="9"/>
      <c r="D12" s="9"/>
      <c r="E12" s="9"/>
      <c r="F12" s="9"/>
      <c r="G12" s="9"/>
      <c r="H12" s="9"/>
      <c r="I12" s="9"/>
    </row>
    <row r="13" customFormat="false" ht="13" hidden="false" customHeight="false" outlineLevel="0" collapsed="false">
      <c r="A13" s="11" t="s">
        <v>93</v>
      </c>
      <c r="B13" s="11" t="n">
        <v>1968</v>
      </c>
      <c r="C13" s="9" t="n">
        <v>6.8</v>
      </c>
      <c r="D13" s="9" t="n">
        <v>6.9</v>
      </c>
      <c r="E13" s="9" t="n">
        <v>3.9</v>
      </c>
      <c r="F13" s="9" t="n">
        <v>3.9</v>
      </c>
      <c r="G13" s="9" t="n">
        <v>5.3</v>
      </c>
      <c r="H13" s="9" t="n">
        <v>6</v>
      </c>
      <c r="I13" s="9" t="n">
        <v>3.5</v>
      </c>
    </row>
    <row r="14" customFormat="false" ht="13" hidden="false" customHeight="false" outlineLevel="0" collapsed="false">
      <c r="A14" s="11"/>
      <c r="B14" s="11"/>
      <c r="C14" s="9"/>
      <c r="D14" s="9"/>
      <c r="E14" s="9"/>
      <c r="F14" s="9"/>
      <c r="G14" s="9"/>
      <c r="H14" s="9"/>
      <c r="I14" s="9"/>
    </row>
    <row r="15" customFormat="false" ht="13" hidden="false" customHeight="false" outlineLevel="0" collapsed="false">
      <c r="A15" s="11"/>
      <c r="B15" s="11" t="n">
        <v>1988</v>
      </c>
      <c r="C15" s="9" t="n">
        <v>8.6</v>
      </c>
      <c r="D15" s="9" t="n">
        <v>8</v>
      </c>
      <c r="E15" s="9" t="n">
        <v>4.2</v>
      </c>
      <c r="F15" s="9" t="n">
        <v>3.9</v>
      </c>
      <c r="G15" s="9" t="n">
        <v>5.7</v>
      </c>
      <c r="H15" s="9" t="n">
        <v>7.5</v>
      </c>
      <c r="I15" s="9" t="n">
        <v>4.4</v>
      </c>
    </row>
    <row r="16" customFormat="false" ht="13" hidden="false" customHeight="false" outlineLevel="0" collapsed="false">
      <c r="A16" s="11"/>
      <c r="B16" s="11"/>
      <c r="C16" s="9"/>
      <c r="D16" s="9"/>
      <c r="E16" s="9"/>
      <c r="F16" s="9"/>
      <c r="G16" s="9"/>
      <c r="H16" s="9"/>
      <c r="I16" s="9"/>
    </row>
    <row r="17" customFormat="false" ht="13" hidden="false" customHeight="false" outlineLevel="0" collapsed="false">
      <c r="A17" s="11" t="s">
        <v>94</v>
      </c>
      <c r="B17" s="11" t="n">
        <v>1968</v>
      </c>
      <c r="C17" s="9" t="n">
        <v>7.7</v>
      </c>
      <c r="D17" s="9" t="n">
        <v>9.8</v>
      </c>
      <c r="E17" s="9" t="n">
        <v>3.9</v>
      </c>
      <c r="F17" s="9" t="n">
        <v>3.9</v>
      </c>
      <c r="G17" s="9" t="n">
        <v>6</v>
      </c>
      <c r="H17" s="9" t="n">
        <v>5.7</v>
      </c>
      <c r="I17" s="9" t="n">
        <v>3.4</v>
      </c>
    </row>
    <row r="18" customFormat="false" ht="13" hidden="false" customHeight="false" outlineLevel="0" collapsed="false">
      <c r="A18" s="11"/>
      <c r="B18" s="11"/>
      <c r="C18" s="9"/>
      <c r="D18" s="9"/>
      <c r="E18" s="9"/>
      <c r="F18" s="9"/>
      <c r="G18" s="9"/>
      <c r="H18" s="9"/>
      <c r="I18" s="9"/>
    </row>
    <row r="19" customFormat="false" ht="13" hidden="false" customHeight="false" outlineLevel="0" collapsed="false">
      <c r="A19" s="11"/>
      <c r="B19" s="11" t="n">
        <v>1988</v>
      </c>
      <c r="C19" s="9" t="n">
        <v>10.1</v>
      </c>
      <c r="D19" s="9" t="n">
        <v>11.5</v>
      </c>
      <c r="E19" s="9" t="n">
        <v>3.4</v>
      </c>
      <c r="F19" s="9" t="n">
        <v>3.8</v>
      </c>
      <c r="G19" s="9" t="n">
        <v>6.1</v>
      </c>
      <c r="H19" s="9" t="n">
        <v>13</v>
      </c>
      <c r="I19" s="9" t="n">
        <v>5.9</v>
      </c>
    </row>
    <row r="20" customFormat="false" ht="13" hidden="false" customHeight="false" outlineLevel="0" collapsed="false">
      <c r="A20" s="11"/>
      <c r="B20" s="11"/>
      <c r="C20" s="9"/>
      <c r="D20" s="9"/>
      <c r="E20" s="9"/>
      <c r="F20" s="9"/>
      <c r="G20" s="9"/>
      <c r="H20" s="9"/>
      <c r="I20" s="9"/>
    </row>
    <row r="21" customFormat="false" ht="13" hidden="false" customHeight="false" outlineLevel="0" collapsed="false">
      <c r="A21" s="11" t="s">
        <v>95</v>
      </c>
      <c r="B21" s="11" t="n">
        <v>1968</v>
      </c>
      <c r="C21" s="9" t="n">
        <v>4.4</v>
      </c>
      <c r="D21" s="9" t="n">
        <v>4.5</v>
      </c>
      <c r="E21" s="9" t="n">
        <v>3.3</v>
      </c>
      <c r="F21" s="9" t="n">
        <v>3.4</v>
      </c>
      <c r="G21" s="9" t="n">
        <v>3.2</v>
      </c>
      <c r="H21" s="9" t="n">
        <v>5.1</v>
      </c>
      <c r="I21" s="9" t="n">
        <v>3.7</v>
      </c>
    </row>
    <row r="22" customFormat="false" ht="13" hidden="false" customHeight="false" outlineLevel="0" collapsed="false">
      <c r="A22" s="11"/>
      <c r="B22" s="11"/>
      <c r="C22" s="9"/>
      <c r="D22" s="9"/>
      <c r="E22" s="9"/>
      <c r="F22" s="9"/>
      <c r="G22" s="9"/>
      <c r="H22" s="9"/>
      <c r="I22" s="9"/>
    </row>
    <row r="23" customFormat="false" ht="13" hidden="false" customHeight="false" outlineLevel="0" collapsed="false">
      <c r="A23" s="11"/>
      <c r="B23" s="11" t="n">
        <v>1988</v>
      </c>
      <c r="C23" s="9" t="n">
        <v>7.2</v>
      </c>
      <c r="D23" s="9" t="n">
        <v>7.5</v>
      </c>
      <c r="E23" s="9" t="n">
        <v>4</v>
      </c>
      <c r="F23" s="9" t="n">
        <v>4</v>
      </c>
      <c r="G23" s="9" t="n">
        <v>6.2</v>
      </c>
      <c r="H23" s="9" t="n">
        <v>4.6</v>
      </c>
      <c r="I23" s="9" t="n">
        <v>4.4</v>
      </c>
    </row>
    <row r="24" customFormat="false" ht="13" hidden="false" customHeight="false" outlineLevel="0" collapsed="false">
      <c r="A24" s="11"/>
      <c r="B24" s="11"/>
      <c r="I24" s="11"/>
    </row>
    <row r="25" customFormat="false" ht="13" hidden="false" customHeight="false" outlineLevel="0" collapsed="false">
      <c r="C25" s="11"/>
      <c r="D25" s="11"/>
      <c r="E25" s="11"/>
      <c r="F25" s="11"/>
      <c r="G25" s="11"/>
      <c r="H25" s="11"/>
    </row>
    <row r="26" customFormat="false" ht="13" hidden="false" customHeight="false" outlineLevel="0" collapsed="false">
      <c r="A26" s="11" t="s">
        <v>96</v>
      </c>
      <c r="B26" s="11" t="n">
        <v>1968</v>
      </c>
      <c r="C26" s="9" t="n">
        <f aca="false">((C9*A!$D$130)+(C13*A!$D$136)+(C17*A!$D$142)+(C21*A!$D$148))/(A!$D$155)</f>
        <v>6.49780906116784</v>
      </c>
      <c r="D26" s="9" t="n">
        <f aca="false">((D9*A!$E$130)+(D13*A!$E$136)+(D17*A!$E$142)+(D21*A!$E$148))/(A!$E$155)</f>
        <v>6.55332329128224</v>
      </c>
      <c r="E26" s="9" t="n">
        <f aca="false">((E9*A!$F$130)+(E13*A!$F$136)+(E17*A!$F$142)+(E21*A!$F$148))/(A!$F$155)</f>
        <v>4.03648148148148</v>
      </c>
      <c r="F26" s="9" t="n">
        <f aca="false">((F9*A!$G$130)+(F13*A!$G$136)+(F17*A!$G$142)+(F21*A!$G$148))/(A!$G$155)</f>
        <v>3.91893576756095</v>
      </c>
      <c r="G26" s="9" t="n">
        <f aca="false">((G9*A!$H$130)+(G13*A!$H$136)+(G17*A!$H$142)+(G21*A!$H$148))/(A!$H$155)</f>
        <v>5.2131875</v>
      </c>
      <c r="H26" s="9" t="n">
        <f aca="false">((H9*A!$I$130)+(H13*A!$I$136)+(H17*A!$I$142)+(H21*A!$I$148))/(A!$I$155)</f>
        <v>5.34118644067797</v>
      </c>
      <c r="I26" s="9" t="n">
        <f aca="false">((I9*A!$J$130)+(I13*A!$J$136)+(I17*A!$J$142)+(I21*A!$J$148))/(A!$J$155)</f>
        <v>3.58747399084478</v>
      </c>
    </row>
    <row r="27" customFormat="false" ht="13" hidden="false" customHeight="false" outlineLevel="0" collapsed="false">
      <c r="A27" s="11"/>
      <c r="B27" s="11"/>
      <c r="I27" s="11"/>
    </row>
    <row r="28" customFormat="false" ht="13" hidden="false" customHeight="false" outlineLevel="0" collapsed="false">
      <c r="A28" s="11" t="s">
        <v>97</v>
      </c>
      <c r="B28" s="11" t="n">
        <v>1988</v>
      </c>
      <c r="C28" s="9" t="n">
        <f aca="false">((C11*A!$D$133)+(C15*A!$D$139)+(C19*A!$D$145)+(C23*A!$D$151))/(A!$D$158)</f>
        <v>7.77765159631455</v>
      </c>
      <c r="D28" s="9" t="n">
        <f aca="false">((D11*A!$E$133)+(D15*A!$E$139)+(D19*A!$E$145)+(D23*A!$E$151))/(A!$E$158)</f>
        <v>8.15377271327379</v>
      </c>
      <c r="E28" s="9" t="n">
        <f aca="false">((E11*A!$F$133)+(E15*A!$F$139)+(E19*A!$F$145)+(E23*A!$F$151))/(A!$F$158)</f>
        <v>4.03775959723096</v>
      </c>
      <c r="F28" s="9" t="n">
        <f aca="false">((F11*A!$G$133)+(F15*A!$G$139)+(F19*A!$G$145)+(F23*A!$G$151))/(A!$G$158)</f>
        <v>4.23320448395825</v>
      </c>
      <c r="G28" s="9" t="n">
        <f aca="false">((G11*A!$H$133)+(G15*A!$H$139)+(G19*A!$H$145)+(G25*A!$H$151))/(A!$H$158)</f>
        <v>5.46621078037007</v>
      </c>
      <c r="H28" s="9" t="n">
        <f aca="false">((H11*A!$I$133)+(H15*A!$I$139)+(H19*A!$I$145)+(H23*A!$I$151))/(A!$I$158)</f>
        <v>6.57086466165414</v>
      </c>
      <c r="I28" s="9" t="n">
        <f aca="false">((I11*A!$J$133)+(I15*A!$J$139)+(I19*A!$J$145)+(I23*A!$J$151))/(A!$J$158)</f>
        <v>4.89815989847716</v>
      </c>
    </row>
    <row r="29" customFormat="false" ht="13" hidden="false" customHeight="false" outlineLevel="0" collapsed="false">
      <c r="A29" s="11"/>
      <c r="B29" s="11"/>
      <c r="I29" s="11"/>
    </row>
    <row r="30" customFormat="false" ht="13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</row>
    <row r="31" customFormat="false" ht="13" hidden="false" customHeight="false" outlineLevel="0" collapsed="false">
      <c r="C31" s="9"/>
      <c r="D31" s="9"/>
      <c r="E31" s="9"/>
      <c r="F31" s="9"/>
      <c r="G31" s="9"/>
      <c r="H31" s="9"/>
      <c r="I31" s="9"/>
    </row>
    <row r="32" customFormat="false" ht="13" hidden="false" customHeight="false" outlineLevel="0" collapsed="false">
      <c r="C32" s="9"/>
      <c r="D32" s="9"/>
      <c r="E32" s="9"/>
      <c r="F32" s="9"/>
      <c r="G32" s="9"/>
      <c r="H32" s="9"/>
      <c r="I32" s="9"/>
    </row>
    <row r="33" customFormat="false" ht="13" hidden="false" customHeight="false" outlineLevel="0" collapsed="false">
      <c r="A33" s="0" t="s">
        <v>130</v>
      </c>
      <c r="C33" s="9"/>
      <c r="D33" s="9"/>
      <c r="E33" s="9"/>
      <c r="F33" s="9"/>
      <c r="G33" s="9"/>
      <c r="H33" s="9"/>
      <c r="I33" s="9"/>
    </row>
    <row r="34" customFormat="false" ht="13" hidden="false" customHeight="false" outlineLevel="0" collapsed="false">
      <c r="A34" s="0" t="s">
        <v>100</v>
      </c>
      <c r="C34" s="9"/>
      <c r="D34" s="9"/>
      <c r="E34" s="9"/>
      <c r="F34" s="9"/>
      <c r="G34" s="9"/>
      <c r="H34" s="9"/>
      <c r="I34" s="9"/>
    </row>
    <row r="35" customFormat="false" ht="13" hidden="false" customHeight="false" outlineLevel="0" collapsed="false">
      <c r="C35" s="9"/>
      <c r="D35" s="9"/>
      <c r="E35" s="9"/>
      <c r="F35" s="9"/>
      <c r="G35" s="9"/>
      <c r="H35" s="9"/>
      <c r="I35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28125" defaultRowHeight="13" customHeight="false" zeroHeight="false" outlineLevelRow="0" outlineLevelCol="0"/>
  <sheetData>
    <row r="1" customFormat="false" ht="13" hidden="false" customHeight="false" outlineLevel="0" collapsed="false">
      <c r="A1" s="11" t="s">
        <v>110</v>
      </c>
      <c r="B1" s="9" t="s">
        <v>158</v>
      </c>
      <c r="C1" s="9"/>
      <c r="D1" s="9"/>
      <c r="E1" s="9"/>
      <c r="F1" s="9"/>
      <c r="G1" s="9"/>
      <c r="H1" s="9"/>
    </row>
    <row r="2" customFormat="false" ht="13" hidden="false" customHeight="false" outlineLevel="0" collapsed="false">
      <c r="A2" s="11"/>
      <c r="B2" s="9" t="s">
        <v>159</v>
      </c>
      <c r="C2" s="9"/>
      <c r="D2" s="9"/>
      <c r="E2" s="9"/>
      <c r="F2" s="9"/>
      <c r="G2" s="9"/>
      <c r="H2" s="9"/>
    </row>
    <row r="3" customFormat="false" ht="13" hidden="false" customHeight="false" outlineLevel="0" collapsed="false">
      <c r="C3" s="9"/>
      <c r="D3" s="9"/>
      <c r="E3" s="9"/>
      <c r="F3" s="9"/>
      <c r="G3" s="9"/>
      <c r="H3" s="9"/>
    </row>
    <row r="4" customFormat="false" ht="13" hidden="false" customHeight="false" outlineLevel="0" collapsed="false">
      <c r="C4" s="9"/>
      <c r="D4" s="9"/>
      <c r="E4" s="9"/>
      <c r="F4" s="9"/>
      <c r="G4" s="9"/>
      <c r="H4" s="9"/>
    </row>
    <row r="5" customFormat="false" ht="13" hidden="false" customHeight="false" outlineLevel="0" collapsed="false">
      <c r="B5" s="9"/>
      <c r="C5" s="9"/>
      <c r="D5" s="9"/>
      <c r="E5" s="9"/>
      <c r="F5" s="9"/>
      <c r="G5" s="9"/>
      <c r="H5" s="9"/>
    </row>
    <row r="6" customFormat="false" ht="13" hidden="false" customHeight="false" outlineLevel="0" collapsed="false">
      <c r="A6" s="11"/>
      <c r="B6" s="9"/>
      <c r="C6" s="9"/>
      <c r="D6" s="9" t="s">
        <v>80</v>
      </c>
      <c r="E6" s="9"/>
      <c r="F6" s="9"/>
      <c r="G6" s="9"/>
      <c r="H6" s="9"/>
    </row>
    <row r="7" customFormat="false" ht="13" hidden="false" customHeight="false" outlineLevel="0" collapsed="false">
      <c r="A7" s="0" t="s">
        <v>81</v>
      </c>
      <c r="B7" s="10" t="s">
        <v>105</v>
      </c>
      <c r="C7" s="10" t="s">
        <v>83</v>
      </c>
      <c r="D7" s="10" t="s">
        <v>105</v>
      </c>
      <c r="E7" s="10" t="s">
        <v>86</v>
      </c>
      <c r="F7" s="10" t="s">
        <v>83</v>
      </c>
      <c r="G7" s="10" t="s">
        <v>86</v>
      </c>
      <c r="H7" s="10" t="s">
        <v>86</v>
      </c>
    </row>
    <row r="8" customFormat="false" ht="13" hidden="false" customHeight="false" outlineLevel="0" collapsed="false">
      <c r="A8" s="11"/>
      <c r="B8" s="10" t="s">
        <v>87</v>
      </c>
      <c r="C8" s="10" t="s">
        <v>88</v>
      </c>
      <c r="D8" s="10" t="s">
        <v>89</v>
      </c>
      <c r="E8" s="10" t="s">
        <v>88</v>
      </c>
      <c r="F8" s="10" t="s">
        <v>89</v>
      </c>
      <c r="G8" s="10" t="s">
        <v>87</v>
      </c>
      <c r="H8" s="10" t="s">
        <v>89</v>
      </c>
    </row>
    <row r="9" customFormat="false" ht="13" hidden="false" customHeight="false" outlineLevel="0" collapsed="false">
      <c r="H9" s="11"/>
    </row>
    <row r="10" customFormat="false" ht="13" hidden="false" customHeight="false" outlineLevel="0" collapsed="false">
      <c r="A10" s="0" t="s">
        <v>90</v>
      </c>
      <c r="B10" s="9" t="n">
        <v>10.6965548367685</v>
      </c>
      <c r="C10" s="9" t="n">
        <v>20.2898550724638</v>
      </c>
      <c r="D10" s="9" t="n">
        <v>-3.65591397849462</v>
      </c>
      <c r="E10" s="9" t="n">
        <v>0.628140703517588</v>
      </c>
      <c r="F10" s="9" t="n">
        <v>19.4258373205742</v>
      </c>
      <c r="G10" s="9" t="n">
        <v>19.1627906976744</v>
      </c>
      <c r="H10" s="9" t="n">
        <v>32.3181549379066</v>
      </c>
    </row>
    <row r="11" customFormat="false" ht="13" hidden="false" customHeight="false" outlineLevel="0" collapsed="false">
      <c r="H11" s="11"/>
    </row>
    <row r="12" customFormat="false" ht="13" hidden="false" customHeight="false" outlineLevel="0" collapsed="false">
      <c r="A12" s="0" t="s">
        <v>93</v>
      </c>
      <c r="B12" s="9" t="n">
        <v>30.9294871794872</v>
      </c>
      <c r="C12" s="9" t="n">
        <v>30.6591286400144</v>
      </c>
      <c r="D12" s="9" t="n">
        <v>2.3374415639609</v>
      </c>
      <c r="E12" s="9" t="n">
        <v>-4.27807486631016</v>
      </c>
      <c r="F12" s="9" t="n">
        <v>13.2504288164666</v>
      </c>
      <c r="G12" s="9" t="n">
        <v>-1.97568389057751</v>
      </c>
      <c r="H12" s="9" t="n">
        <v>26.453781512605</v>
      </c>
    </row>
    <row r="13" customFormat="false" ht="13" hidden="false" customHeight="false" outlineLevel="0" collapsed="false">
      <c r="B13" s="17"/>
      <c r="C13" s="17"/>
      <c r="D13" s="17"/>
      <c r="E13" s="17"/>
      <c r="F13" s="17"/>
      <c r="G13" s="17"/>
      <c r="H13" s="17"/>
    </row>
    <row r="14" customFormat="false" ht="13" hidden="false" customHeight="false" outlineLevel="0" collapsed="false">
      <c r="A14" s="0" t="s">
        <v>94</v>
      </c>
      <c r="B14" s="9" t="n">
        <v>41.2320483749055</v>
      </c>
      <c r="C14" s="9" t="n">
        <v>25.8619093896062</v>
      </c>
      <c r="D14" s="9" t="n">
        <v>-9.68831567633963</v>
      </c>
      <c r="E14" s="9" t="n">
        <v>19.375106130073</v>
      </c>
      <c r="F14" s="9" t="n">
        <v>9.09745293466224</v>
      </c>
      <c r="G14" s="9" t="n">
        <v>138.282272846295</v>
      </c>
      <c r="H14" s="9" t="n">
        <v>43.9722042663219</v>
      </c>
    </row>
    <row r="15" customFormat="false" ht="13" hidden="false" customHeight="false" outlineLevel="0" collapsed="false">
      <c r="B15" s="9"/>
      <c r="C15" s="9"/>
      <c r="D15" s="9"/>
      <c r="E15" s="9"/>
      <c r="F15" s="9"/>
      <c r="G15" s="9"/>
      <c r="H15" s="9"/>
    </row>
    <row r="16" customFormat="false" ht="13" hidden="false" customHeight="false" outlineLevel="0" collapsed="false">
      <c r="A16" s="0" t="s">
        <v>95</v>
      </c>
      <c r="B16" s="9" t="n">
        <v>69.3712829226848</v>
      </c>
      <c r="C16" s="9" t="n">
        <v>86.231884057971</v>
      </c>
      <c r="D16" s="9" t="n">
        <v>33.3333333333333</v>
      </c>
      <c r="E16" s="9" t="n">
        <v>38.7133365742991</v>
      </c>
      <c r="F16" s="9" t="n">
        <v>98.3876329787234</v>
      </c>
      <c r="G16" s="9" t="n">
        <v>22.0299884659746</v>
      </c>
      <c r="H16" s="9" t="n">
        <v>15.1382596469302</v>
      </c>
    </row>
    <row r="17" customFormat="false" ht="13" hidden="false" customHeight="false" outlineLevel="0" collapsed="false">
      <c r="H17" s="11"/>
    </row>
    <row r="18" customFormat="false" ht="13" hidden="false" customHeight="false" outlineLevel="0" collapsed="false">
      <c r="A18" s="0" t="s">
        <v>96</v>
      </c>
      <c r="B18" s="9" t="n">
        <v>19.1218275436816</v>
      </c>
      <c r="C18" s="9" t="n">
        <v>27.3871677034228</v>
      </c>
      <c r="D18" s="9" t="n">
        <v>1.50034419630812</v>
      </c>
      <c r="E18" s="9" t="n">
        <v>1.56978991770632</v>
      </c>
      <c r="F18" s="9" t="n">
        <v>7.06396328340453</v>
      </c>
      <c r="G18" s="9" t="n">
        <v>18.1107048042705</v>
      </c>
      <c r="H18" s="9" t="n">
        <v>29.9470179249253</v>
      </c>
    </row>
    <row r="19" customFormat="false" ht="13" hidden="false" customHeight="false" outlineLevel="0" collapsed="false">
      <c r="A19" s="11" t="s">
        <v>97</v>
      </c>
      <c r="B19" s="9"/>
      <c r="C19" s="9"/>
      <c r="D19" s="9"/>
      <c r="E19" s="9"/>
      <c r="F19" s="9"/>
      <c r="G19" s="9"/>
      <c r="H19" s="9"/>
    </row>
    <row r="21" customFormat="false" ht="13" hidden="false" customHeight="false" outlineLevel="0" collapsed="false">
      <c r="A21" s="0" t="s">
        <v>160</v>
      </c>
      <c r="C21" s="9"/>
      <c r="D21" s="9"/>
      <c r="E21" s="9"/>
      <c r="F21" s="9"/>
      <c r="G21" s="9"/>
    </row>
    <row r="22" customFormat="false" ht="13" hidden="false" customHeight="false" outlineLevel="0" collapsed="false">
      <c r="A22" s="0" t="s">
        <v>100</v>
      </c>
      <c r="C22" s="9"/>
      <c r="D22" s="9"/>
      <c r="E22" s="9"/>
      <c r="F22" s="9"/>
      <c r="G22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28125" defaultRowHeight="13" customHeight="false" zeroHeight="false" outlineLevelRow="0" outlineLevelCol="0"/>
  <sheetData>
    <row r="1" customFormat="false" ht="13" hidden="false" customHeight="false" outlineLevel="0" collapsed="false">
      <c r="A1" s="11" t="s">
        <v>161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28125" defaultRowHeight="13" customHeight="false" zeroHeight="false" outlineLevelRow="0" outlineLevelCol="0"/>
  <sheetData>
    <row r="1" customFormat="false" ht="13" hidden="false" customHeight="false" outlineLevel="0" collapsed="false">
      <c r="A1" s="11" t="s">
        <v>162</v>
      </c>
    </row>
    <row r="3" customFormat="false" ht="13" hidden="false" customHeight="false" outlineLevel="0" collapsed="false">
      <c r="A3" s="11" t="s">
        <v>161</v>
      </c>
    </row>
    <row r="4" customFormat="false" ht="13" hidden="false" customHeight="false" outlineLevel="0" collapsed="false">
      <c r="A4" s="11"/>
    </row>
    <row r="5" customFormat="false" ht="13" hidden="false" customHeight="false" outlineLevel="0" collapsed="false">
      <c r="A5" s="11" t="s">
        <v>163</v>
      </c>
    </row>
    <row r="6" customFormat="false" ht="13" hidden="false" customHeight="false" outlineLevel="0" collapsed="false">
      <c r="A6" s="11"/>
    </row>
    <row r="7" customFormat="false" ht="13" hidden="false" customHeight="false" outlineLevel="0" collapsed="false">
      <c r="A7" s="11" t="s">
        <v>164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2001-04-24T01:40:39Z</dcterms:created>
  <dc:creator>David Levinson</dc:creator>
  <dc:description/>
  <dc:language>en-AU</dc:language>
  <cp:lastModifiedBy>David Levinson</cp:lastModifiedBy>
  <cp:revision>0</cp:revision>
  <dc:subject/>
  <dc:title/>
</cp:coreProperties>
</file>